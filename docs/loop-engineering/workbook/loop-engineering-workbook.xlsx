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ALC-1 Verifier Trust" sheetId="2" state="visible" r:id="rId2"/>
    <sheet name="CALC-2 Tries" sheetId="3" state="visible" r:id="rId3"/>
    <sheet name="CALC-3 Budget" sheetId="4" state="visible" r:id="rId4"/>
    <sheet name="CALC-4 Scorecard" sheetId="5" state="visible" r:id="rId5"/>
    <sheet name="Loop Canvas" sheetId="6" state="visible" r:id="rId6"/>
    <sheet name="Run Log"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
    <numFmt numFmtId="168" formatCode="$0.000"/>
  </numFmts>
  <fonts count="5">
    <font>
      <name val="Calibri"/>
      <family val="2"/>
      <color theme="1"/>
      <sz val="11"/>
      <scheme val="minor"/>
    </font>
    <font>
      <b val="1"/>
      <sz val="14"/>
    </font>
    <font>
      <b val="1"/>
    </font>
    <font>
      <i val="1"/>
      <color rgb="0064748B"/>
    </font>
    <font>
      <b val="1"/>
      <color rgb="00FFFFFF"/>
    </font>
  </fonts>
  <fills count="6">
    <fill>
      <patternFill/>
    </fill>
    <fill>
      <patternFill patternType="gray125"/>
    </fill>
    <fill>
      <patternFill patternType="solid">
        <fgColor rgb="00FFF4CC"/>
      </patternFill>
    </fill>
    <fill>
      <patternFill patternType="solid">
        <fgColor rgb="000F172A"/>
      </patternFill>
    </fill>
    <fill>
      <patternFill patternType="solid">
        <fgColor rgb="00E1EEF8"/>
      </patternFill>
    </fill>
    <fill>
      <patternFill patternType="solid">
        <fgColor rgb="00FBE6D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3" borderId="0" applyAlignment="1" pivotButton="0" quotePrefix="0" xfId="0">
      <alignment vertical="top" wrapText="1"/>
    </xf>
    <xf numFmtId="0" fontId="0" fillId="0" borderId="1" pivotButton="0" quotePrefix="0" xfId="0"/>
    <xf numFmtId="2" fontId="0" fillId="2" borderId="1" pivotButton="0" quotePrefix="0" xfId="0"/>
    <xf numFmtId="164" fontId="0" fillId="4" borderId="1" pivotButton="0" quotePrefix="0" xfId="0"/>
    <xf numFmtId="0" fontId="0" fillId="4" borderId="1" pivotButton="0" quotePrefix="0" xfId="0"/>
    <xf numFmtId="2" fontId="0" fillId="0" borderId="1" pivotButton="0" quotePrefix="0" xfId="0"/>
    <xf numFmtId="165" fontId="0" fillId="4" borderId="1" pivotButton="0" quotePrefix="0" xfId="0"/>
    <xf numFmtId="165" fontId="0" fillId="0" borderId="1" pivotButton="0" quotePrefix="0" xfId="0"/>
    <xf numFmtId="1" fontId="0" fillId="2" borderId="1" pivotButton="0" quotePrefix="0" xfId="0"/>
    <xf numFmtId="1" fontId="0" fillId="4" borderId="1" pivotButton="0" quotePrefix="0" xfId="0"/>
    <xf numFmtId="2" fontId="0" fillId="4" borderId="1" pivotButton="0" quotePrefix="0" xfId="0"/>
    <xf numFmtId="1" fontId="0" fillId="0" borderId="1" pivotButton="0" quotePrefix="0" xfId="0"/>
    <xf numFmtId="0" fontId="3" fillId="0" borderId="1" pivotButton="0" quotePrefix="0" xfId="0"/>
    <xf numFmtId="166" fontId="0" fillId="2" borderId="1" pivotButton="0" quotePrefix="0" xfId="0"/>
    <xf numFmtId="3" fontId="0" fillId="2" borderId="1" pivotButton="0" quotePrefix="0" xfId="0"/>
    <xf numFmtId="167" fontId="0" fillId="2" borderId="1" pivotButton="0" quotePrefix="0" xfId="0"/>
    <xf numFmtId="167" fontId="0" fillId="5" borderId="1" pivotButton="0" quotePrefix="0" xfId="0"/>
    <xf numFmtId="167" fontId="0" fillId="4" borderId="1" pivotButton="0" quotePrefix="0" xfId="0"/>
    <xf numFmtId="0" fontId="2" fillId="0" borderId="1"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2" borderId="1" pivotButton="0" quotePrefix="0" xfId="0"/>
    <xf numFmtId="0" fontId="4" fillId="3" borderId="0" pivotButton="0" quotePrefix="0" xfId="0"/>
    <xf numFmtId="0" fontId="0" fillId="3" borderId="0" pivotButton="0" quotePrefix="0" xfId="0"/>
    <xf numFmtId="0" fontId="0" fillId="2" borderId="0" pivotButton="0" quotePrefix="0" xfId="0"/>
    <xf numFmtId="168" fontId="0" fillId="4" borderId="0" pivotButton="0" quotePrefix="0" xfId="0"/>
    <xf numFmtId="9" fontId="0" fillId="4" borderId="1" pivotButton="0" quotePrefix="0" xfId="0"/>
    <xf numFmtId="49"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 t="inlineStr">
        <is>
          <t>Loop Engineering workbook</t>
        </is>
      </c>
    </row>
    <row r="2">
      <c r="A2" t="inlineStr">
        <is>
          <t>From the guide 'Loop Engineering: From Zero to Hero' (docs/loop-engineering). Every result is a live formula.</t>
        </is>
      </c>
    </row>
    <row r="4">
      <c r="A4" s="2" t="inlineStr">
        <is>
          <t>How to use</t>
        </is>
      </c>
      <c r="B4" s="3" t="inlineStr">
        <is>
          <t>Type only in yellow cells. Blue cells are formulas; don't type over them. Orange cells are FIELD WORK: look the value up before you trust the result.</t>
        </is>
      </c>
    </row>
    <row r="5">
      <c r="A5" s="4" t="inlineStr">
        <is>
          <t>Color key</t>
        </is>
      </c>
      <c r="B5" s="3" t="inlineStr">
        <is>
          <t>Yellow = input · Blue = formula · Orange = FIELD WORK (current prices, your own measurements)</t>
        </is>
      </c>
    </row>
    <row r="6">
      <c r="A6" s="4" t="inlineStr">
        <is>
          <t>CALC-1 Verifier Trust</t>
        </is>
      </c>
      <c r="B6" s="3" t="inlineStr">
        <is>
          <t>When the checker says 'pass', how often is the work really right? (Level 2)</t>
        </is>
      </c>
    </row>
    <row r="7">
      <c r="A7" s="4" t="inlineStr">
        <is>
          <t>CALC-2 Tries</t>
        </is>
      </c>
      <c r="B7" s="3" t="inlineStr">
        <is>
          <t>How many tries should the cap allow? Includes a table of n = 1 to 20. (Level 3)</t>
        </is>
      </c>
    </row>
    <row r="8">
      <c r="A8" s="4" t="inlineStr">
        <is>
          <t>CALC-3 Budget</t>
        </is>
      </c>
      <c r="B8" s="3" t="inlineStr">
        <is>
          <t>Cost per iteration, typical run, ceiling per run, monthly ceiling, time ceiling. (Level 4)</t>
        </is>
      </c>
    </row>
    <row r="9">
      <c r="A9" s="4" t="inlineStr">
        <is>
          <t>CALC-4 Scorecard</t>
        </is>
      </c>
      <c r="B9" s="3" t="inlineStr">
        <is>
          <t>The Loop Scorecard /100, with CS-1 v1, CS-1 v2, and the kit's loop.sh default pre-filled. (Level 5)</t>
        </is>
      </c>
    </row>
    <row r="10">
      <c r="A10" s="4" t="inlineStr">
        <is>
          <t>Loop Canvas</t>
        </is>
      </c>
      <c r="B10" s="3" t="inlineStr">
        <is>
          <t>The nine-box Loop Spec as a fill-in sheet, matching kit/LOOP-SPEC.md. (Level 1)</t>
        </is>
      </c>
    </row>
    <row r="11">
      <c r="A11" s="4" t="inlineStr">
        <is>
          <t>Run Log</t>
        </is>
      </c>
      <c r="B11" s="3" t="inlineStr">
        <is>
          <t>One row per iteration, same columns as kit/loop.sh writes; cost per row and summary numbers. (Level 5)</t>
        </is>
      </c>
    </row>
    <row r="12">
      <c r="A12" s="4" t="inlineStr">
        <is>
          <t>⚠VERIFY: prices</t>
        </is>
      </c>
      <c r="B12" s="3" t="inlineStr">
        <is>
          <t>The 'Example' column of CALC-3 uses INVENTED round prices ($4 and $20 per million tokens) so the arithmetic is easy to check. They are not real prices. Put current prices from Anthropic's pricing page in the 'Yours' column.</t>
        </is>
      </c>
    </row>
    <row r="13">
      <c r="A13" s="4" t="inlineStr">
        <is>
          <t>Checksums</t>
        </is>
      </c>
      <c r="B13" s="3" t="inlineStr">
        <is>
          <t>Each calculator sheet has a 'Checksum' table: the guide's worked examples, the workbook's result, and a match column. If a match cell says NO, a formula has been changed.</t>
        </is>
      </c>
    </row>
    <row r="14">
      <c r="A14" s="4" t="inlineStr">
        <is>
          <t>No macros, no links</t>
        </is>
      </c>
      <c r="B14" s="3" t="inlineStr">
        <is>
          <t>This workbook has no macros and no links to other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44" customWidth="1" min="1" max="1"/>
    <col width="10" customWidth="1" min="2" max="2"/>
    <col width="16" customWidth="1" min="3" max="3"/>
    <col width="16" customWidth="1" min="4" max="4"/>
    <col width="18" customWidth="1" min="5" max="5"/>
    <col width="18" customWidth="1" min="6" max="6"/>
    <col width="12" customWidth="1" min="7" max="7"/>
  </cols>
  <sheetData>
    <row r="1">
      <c r="A1" s="1" t="inlineStr">
        <is>
          <t>CALC-1 · VERIFIER TRUST</t>
        </is>
      </c>
    </row>
    <row r="2">
      <c r="A2" s="5" t="inlineStr">
        <is>
          <t>When the checker says 'pass', how often is the work really right?</t>
        </is>
      </c>
    </row>
    <row r="4">
      <c r="A4" s="6" t="inlineStr">
        <is>
          <t>Input</t>
        </is>
      </c>
      <c r="B4" s="6" t="inlineStr">
        <is>
          <t>Symbol</t>
        </is>
      </c>
      <c r="C4" s="6" t="inlineStr">
        <is>
          <t>Your value</t>
        </is>
      </c>
    </row>
    <row r="5">
      <c r="A5" s="7" t="inlineStr">
        <is>
          <t>Share of attempts correct before any check</t>
        </is>
      </c>
      <c r="B5" s="7" t="inlineStr">
        <is>
          <t>p</t>
        </is>
      </c>
      <c r="C5" s="8" t="n">
        <v>0.3</v>
      </c>
    </row>
    <row r="6">
      <c r="A6" s="7" t="inlineStr">
        <is>
          <t>Chance the checker passes correct work</t>
        </is>
      </c>
      <c r="B6" s="7" t="inlineStr">
        <is>
          <t>S</t>
        </is>
      </c>
      <c r="C6" s="8" t="n">
        <v>0.9</v>
      </c>
    </row>
    <row r="7">
      <c r="A7" s="7" t="inlineStr">
        <is>
          <t>Chance the checker passes wrong work (false-pass rate)</t>
        </is>
      </c>
      <c r="B7" s="7" t="inlineStr">
        <is>
          <t>F</t>
        </is>
      </c>
      <c r="C7" s="8" t="n">
        <v>0.2</v>
      </c>
    </row>
    <row r="9">
      <c r="A9" s="6" t="inlineStr">
        <is>
          <t>Result</t>
        </is>
      </c>
      <c r="B9" s="6" t="inlineStr"/>
      <c r="C9" s="6" t="inlineStr">
        <is>
          <t>Value</t>
        </is>
      </c>
    </row>
    <row r="10">
      <c r="A10" s="7" t="inlineStr">
        <is>
          <t>Trust = p×S ÷ (p×S + (1 − p)×F)</t>
        </is>
      </c>
      <c r="C10" s="9">
        <f>C5*C6/(C5*C6+(1-C5)*C7)</f>
        <v/>
      </c>
    </row>
    <row r="11">
      <c r="A11" s="7" t="inlineStr">
        <is>
          <t>Share of passes that are wrong = 1 − Trust</t>
        </is>
      </c>
      <c r="C11" s="9">
        <f>1-C10</f>
        <v/>
      </c>
    </row>
    <row r="12">
      <c r="A12" s="7" t="inlineStr">
        <is>
          <t>Band</t>
        </is>
      </c>
      <c r="C12" s="10">
        <f>IF(C10&gt;=0.95,"95%+: unattended, with spot checks",IF(C10&gt;=0.8,"80-94%: a human checks a sample","under 80%: don't run unattended"))</f>
        <v/>
      </c>
    </row>
    <row r="14" ht="32" customHeight="1">
      <c r="A14" s="3" t="inlineStr">
        <is>
          <t>Assumptions (adjustable): p, S, F stay about the same between runs; a 10 + 10 sample is only a rough estimate; checker mistakes that cluster on hard cases make true trust lower.</t>
        </is>
      </c>
    </row>
    <row r="16">
      <c r="A16" s="6" t="inlineStr">
        <is>
          <t>Checksum case (from the guide)</t>
        </is>
      </c>
      <c r="B16" s="6" t="inlineStr">
        <is>
          <t>p</t>
        </is>
      </c>
      <c r="C16" s="6" t="inlineStr">
        <is>
          <t>S</t>
        </is>
      </c>
      <c r="D16" s="6" t="inlineStr">
        <is>
          <t>F</t>
        </is>
      </c>
      <c r="E16" s="6" t="inlineStr">
        <is>
          <t>Trust (formula)</t>
        </is>
      </c>
      <c r="F16" s="6" t="inlineStr">
        <is>
          <t>Expected</t>
        </is>
      </c>
      <c r="G16" s="6" t="inlineStr">
        <is>
          <t>Match</t>
        </is>
      </c>
    </row>
    <row r="17">
      <c r="A17" s="7" t="inlineStr">
        <is>
          <t>Loose checker</t>
        </is>
      </c>
      <c r="B17" s="11" t="n">
        <v>0.3</v>
      </c>
      <c r="C17" s="11" t="n">
        <v>0.9</v>
      </c>
      <c r="D17" s="11" t="n">
        <v>0.2</v>
      </c>
      <c r="E17" s="12">
        <f>B17*C17/(B17*C17+(1-B17)*D17)</f>
        <v/>
      </c>
      <c r="F17" s="13" t="n">
        <v>0.659</v>
      </c>
      <c r="G17" s="10">
        <f>IF(ABS(E17-F17)&lt;0.0005,"yes","NO")</f>
        <v/>
      </c>
    </row>
    <row r="18">
      <c r="A18" s="7" t="inlineStr">
        <is>
          <t>Tight checker</t>
        </is>
      </c>
      <c r="B18" s="11" t="n">
        <v>0.3</v>
      </c>
      <c r="C18" s="11" t="n">
        <v>0.9</v>
      </c>
      <c r="D18" s="11" t="n">
        <v>0.02</v>
      </c>
      <c r="E18" s="12">
        <f>B18*C18/(B18*C18+(1-B18)*D18)</f>
        <v/>
      </c>
      <c r="F18" s="13" t="n">
        <v>0.951</v>
      </c>
      <c r="G18" s="10">
        <f>IF(ABS(E18-F18)&lt;0.0005,"yes","NO")</f>
        <v/>
      </c>
    </row>
    <row r="19">
      <c r="A19" s="7" t="inlineStr">
        <is>
          <t>Better prompt, loose checker</t>
        </is>
      </c>
      <c r="B19" s="11" t="n">
        <v>0.5</v>
      </c>
      <c r="C19" s="11" t="n">
        <v>0.9</v>
      </c>
      <c r="D19" s="11" t="n">
        <v>0.2</v>
      </c>
      <c r="E19" s="12">
        <f>B19*C19/(B19*C19+(1-B19)*D19)</f>
        <v/>
      </c>
      <c r="F19" s="13" t="n">
        <v>0.8179999999999999</v>
      </c>
      <c r="G19" s="10">
        <f>IF(ABS(E19-F19)&lt;0.0005,"yes","NO")</f>
        <v/>
      </c>
    </row>
  </sheetData>
  <mergeCells count="1">
    <mergeCell ref="A14:G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46" customWidth="1" min="1" max="1"/>
    <col width="12" customWidth="1" min="2" max="2"/>
    <col width="14" customWidth="1" min="3" max="3"/>
    <col width="14" customWidth="1" min="4" max="4"/>
    <col width="18" customWidth="1" min="5" max="5"/>
    <col width="12" customWidth="1" min="6" max="6"/>
    <col width="12" customWidth="1" min="7" max="7"/>
  </cols>
  <sheetData>
    <row r="1">
      <c r="A1" s="1" t="inlineStr">
        <is>
          <t>CALC-2 · TRIES-TO-SUCCESS</t>
        </is>
      </c>
    </row>
    <row r="2">
      <c r="A2" s="5" t="inlineStr">
        <is>
          <t>How many tries should the cap allow?</t>
        </is>
      </c>
    </row>
    <row r="4">
      <c r="A4" s="6" t="inlineStr">
        <is>
          <t>Input</t>
        </is>
      </c>
      <c r="B4" s="6" t="inlineStr">
        <is>
          <t>Symbol</t>
        </is>
      </c>
      <c r="C4" s="6" t="inlineStr">
        <is>
          <t>Your value</t>
        </is>
      </c>
    </row>
    <row r="5">
      <c r="A5" s="7" t="inlineStr">
        <is>
          <t>Chance a single try succeeds (above 0, below 1)</t>
        </is>
      </c>
      <c r="B5" s="7" t="inlineStr">
        <is>
          <t>p</t>
        </is>
      </c>
      <c r="C5" s="8" t="n">
        <v>0.5</v>
      </c>
    </row>
    <row r="6">
      <c r="A6" s="7" t="inlineStr">
        <is>
          <t>Confidence you want (above 0, below 1)</t>
        </is>
      </c>
      <c r="B6" s="7" t="inlineStr">
        <is>
          <t>C</t>
        </is>
      </c>
      <c r="C6" s="8" t="n">
        <v>0.95</v>
      </c>
    </row>
    <row r="7">
      <c r="A7" s="7" t="inlineStr">
        <is>
          <t>A cap to test</t>
        </is>
      </c>
      <c r="B7" s="7" t="inlineStr">
        <is>
          <t>n</t>
        </is>
      </c>
      <c r="C7" s="14" t="n">
        <v>5</v>
      </c>
    </row>
    <row r="9">
      <c r="A9" s="6" t="inlineStr">
        <is>
          <t>Result</t>
        </is>
      </c>
      <c r="B9" s="6" t="inlineStr"/>
      <c r="C9" s="6" t="inlineStr">
        <is>
          <t>Value</t>
        </is>
      </c>
    </row>
    <row r="10">
      <c r="A10" s="7" t="inlineStr">
        <is>
          <t>Tries needed = round up ln(1 − C) ÷ ln(1 − p)</t>
        </is>
      </c>
      <c r="C10" s="15">
        <f>ROUNDUP(LN(1-C6)/LN(1-C5)-1E-9,0)</f>
        <v/>
      </c>
    </row>
    <row r="11">
      <c r="A11" s="7" t="inlineStr">
        <is>
          <t>Chance of success within the tries needed</t>
        </is>
      </c>
      <c r="C11" s="9">
        <f>1-(1-C5)^C10</f>
        <v/>
      </c>
    </row>
    <row r="12">
      <c r="A12" s="7" t="inlineStr">
        <is>
          <t>Chance of success within the cap n</t>
        </is>
      </c>
      <c r="C12" s="9">
        <f>1-(1-C5)^C7</f>
        <v/>
      </c>
    </row>
    <row r="13">
      <c r="A13" s="7" t="inlineStr">
        <is>
          <t>Average tries to the first success = 1 ÷ p</t>
        </is>
      </c>
      <c r="C13" s="16">
        <f>1/C5</f>
        <v/>
      </c>
    </row>
    <row r="14">
      <c r="A14" s="7" t="inlineStr">
        <is>
          <t>Average tries actually used with cap n = (1 − (1 − p)^n) ÷ p</t>
        </is>
      </c>
      <c r="C14" s="16">
        <f>(1-(1-C5)^C7)/C5</f>
        <v/>
      </c>
    </row>
    <row r="15">
      <c r="A15" s="7" t="inlineStr">
        <is>
          <t>Band</t>
        </is>
      </c>
      <c r="C15" s="10">
        <f>IF(C10&lt;=5,"5 or fewer: comfortable",IF(C10&lt;=15,"6-15: set a budget ceiling too (CALC-3)","over 15: better checker or smaller steps"))</f>
        <v/>
      </c>
    </row>
    <row r="17" ht="44" customHeight="1">
      <c r="A17" s="3" t="inlineStr">
        <is>
          <t>Assumptions (adjustable): tries are independent with the same p. Good feedback often beats this; a weak checker or a filling context can do worse. The -1E-9 guards against rounding error when the ratio is a whole number.</t>
        </is>
      </c>
    </row>
    <row r="19">
      <c r="A19" s="6" t="inlineStr">
        <is>
          <t>Checksum case (from the guide)</t>
        </is>
      </c>
      <c r="B19" s="6" t="inlineStr">
        <is>
          <t>p</t>
        </is>
      </c>
      <c r="C19" s="6" t="inlineStr">
        <is>
          <t>C</t>
        </is>
      </c>
      <c r="D19" s="6" t="inlineStr">
        <is>
          <t>Tries (formula)</t>
        </is>
      </c>
      <c r="E19" s="6" t="inlineStr">
        <is>
          <t>Chance within tries</t>
        </is>
      </c>
      <c r="F19" s="6" t="inlineStr">
        <is>
          <t>Expected tries</t>
        </is>
      </c>
      <c r="G19" s="6" t="inlineStr">
        <is>
          <t>Match</t>
        </is>
      </c>
    </row>
    <row r="20">
      <c r="A20" s="7" t="inlineStr">
        <is>
          <t>p = 0.5, C = 0.95</t>
        </is>
      </c>
      <c r="B20" s="11" t="n">
        <v>0.5</v>
      </c>
      <c r="C20" s="11" t="n">
        <v>0.95</v>
      </c>
      <c r="D20" s="15">
        <f>ROUNDUP(LN(1-C20)/LN(1-B20)-1E-9,0)</f>
        <v/>
      </c>
      <c r="E20" s="12">
        <f>1-(1-B20)^D20</f>
        <v/>
      </c>
      <c r="F20" s="17" t="n">
        <v>5</v>
      </c>
      <c r="G20" s="10">
        <f>IF(AND(D20=F20,ABS(E20-0.969)&lt;0.0005),"yes","NO")</f>
        <v/>
      </c>
    </row>
    <row r="21">
      <c r="A21" s="7" t="inlineStr">
        <is>
          <t>p = 0.2, C = 0.90</t>
        </is>
      </c>
      <c r="B21" s="11" t="n">
        <v>0.2</v>
      </c>
      <c r="C21" s="11" t="n">
        <v>0.9</v>
      </c>
      <c r="D21" s="15">
        <f>ROUNDUP(LN(1-C21)/LN(1-B21)-1E-9,0)</f>
        <v/>
      </c>
      <c r="E21" s="12">
        <f>1-(1-B21)^D21</f>
        <v/>
      </c>
      <c r="F21" s="17" t="n">
        <v>11</v>
      </c>
      <c r="G21" s="10">
        <f>IF(AND(D21=F21,ABS(E21-0.914)&lt;0.0005),"yes","NO")</f>
        <v/>
      </c>
    </row>
    <row r="22">
      <c r="A22" s="7" t="inlineStr">
        <is>
          <t>p = 0.4, C = 0.90 (Level 3 practice)</t>
        </is>
      </c>
      <c r="B22" s="11" t="n">
        <v>0.4</v>
      </c>
      <c r="C22" s="11" t="n">
        <v>0.9</v>
      </c>
      <c r="D22" s="15">
        <f>ROUNDUP(LN(1-C22)/LN(1-B22)-1E-9,0)</f>
        <v/>
      </c>
      <c r="E22" s="12">
        <f>1-(1-B22)^D22</f>
        <v/>
      </c>
      <c r="F22" s="17" t="n">
        <v>5</v>
      </c>
      <c r="G22" s="10">
        <f>IF(AND(D22=F22,ABS(E22-0.922)&lt;0.0005),"yes","NO")</f>
        <v/>
      </c>
    </row>
    <row r="24">
      <c r="A24" s="6" t="inlineStr">
        <is>
          <t>Tries n</t>
        </is>
      </c>
      <c r="B24" s="6" t="inlineStr">
        <is>
          <t>p = 0.2</t>
        </is>
      </c>
      <c r="C24" s="6" t="inlineStr">
        <is>
          <t>p = 0.5</t>
        </is>
      </c>
      <c r="D24" s="6" t="inlineStr">
        <is>
          <t>p = 0.8</t>
        </is>
      </c>
    </row>
    <row r="25">
      <c r="A25" s="18" t="inlineStr">
        <is>
          <t>p values →</t>
        </is>
      </c>
      <c r="B25" s="19" t="n">
        <v>0.2</v>
      </c>
      <c r="C25" s="19" t="n">
        <v>0.5</v>
      </c>
      <c r="D25" s="19" t="n">
        <v>0.8</v>
      </c>
    </row>
    <row r="26">
      <c r="A26" s="7" t="n">
        <v>1</v>
      </c>
      <c r="B26" s="9">
        <f>1-(1-B$25)^$A26</f>
        <v/>
      </c>
      <c r="C26" s="9">
        <f>1-(1-C$25)^$A26</f>
        <v/>
      </c>
      <c r="D26" s="9">
        <f>1-(1-D$25)^$A26</f>
        <v/>
      </c>
    </row>
    <row r="27">
      <c r="A27" s="7" t="n">
        <v>2</v>
      </c>
      <c r="B27" s="9">
        <f>1-(1-B$25)^$A27</f>
        <v/>
      </c>
      <c r="C27" s="9">
        <f>1-(1-C$25)^$A27</f>
        <v/>
      </c>
      <c r="D27" s="9">
        <f>1-(1-D$25)^$A27</f>
        <v/>
      </c>
    </row>
    <row r="28">
      <c r="A28" s="7" t="n">
        <v>3</v>
      </c>
      <c r="B28" s="9">
        <f>1-(1-B$25)^$A28</f>
        <v/>
      </c>
      <c r="C28" s="9">
        <f>1-(1-C$25)^$A28</f>
        <v/>
      </c>
      <c r="D28" s="9">
        <f>1-(1-D$25)^$A28</f>
        <v/>
      </c>
    </row>
    <row r="29">
      <c r="A29" s="7" t="n">
        <v>4</v>
      </c>
      <c r="B29" s="9">
        <f>1-(1-B$25)^$A29</f>
        <v/>
      </c>
      <c r="C29" s="9">
        <f>1-(1-C$25)^$A29</f>
        <v/>
      </c>
      <c r="D29" s="9">
        <f>1-(1-D$25)^$A29</f>
        <v/>
      </c>
    </row>
    <row r="30">
      <c r="A30" s="7" t="n">
        <v>5</v>
      </c>
      <c r="B30" s="9">
        <f>1-(1-B$25)^$A30</f>
        <v/>
      </c>
      <c r="C30" s="9">
        <f>1-(1-C$25)^$A30</f>
        <v/>
      </c>
      <c r="D30" s="9">
        <f>1-(1-D$25)^$A30</f>
        <v/>
      </c>
    </row>
    <row r="31">
      <c r="A31" s="7" t="n">
        <v>6</v>
      </c>
      <c r="B31" s="9">
        <f>1-(1-B$25)^$A31</f>
        <v/>
      </c>
      <c r="C31" s="9">
        <f>1-(1-C$25)^$A31</f>
        <v/>
      </c>
      <c r="D31" s="9">
        <f>1-(1-D$25)^$A31</f>
        <v/>
      </c>
    </row>
    <row r="32">
      <c r="A32" s="7" t="n">
        <v>7</v>
      </c>
      <c r="B32" s="9">
        <f>1-(1-B$25)^$A32</f>
        <v/>
      </c>
      <c r="C32" s="9">
        <f>1-(1-C$25)^$A32</f>
        <v/>
      </c>
      <c r="D32" s="9">
        <f>1-(1-D$25)^$A32</f>
        <v/>
      </c>
    </row>
    <row r="33">
      <c r="A33" s="7" t="n">
        <v>8</v>
      </c>
      <c r="B33" s="9">
        <f>1-(1-B$25)^$A33</f>
        <v/>
      </c>
      <c r="C33" s="9">
        <f>1-(1-C$25)^$A33</f>
        <v/>
      </c>
      <c r="D33" s="9">
        <f>1-(1-D$25)^$A33</f>
        <v/>
      </c>
    </row>
    <row r="34">
      <c r="A34" s="7" t="n">
        <v>9</v>
      </c>
      <c r="B34" s="9">
        <f>1-(1-B$25)^$A34</f>
        <v/>
      </c>
      <c r="C34" s="9">
        <f>1-(1-C$25)^$A34</f>
        <v/>
      </c>
      <c r="D34" s="9">
        <f>1-(1-D$25)^$A34</f>
        <v/>
      </c>
    </row>
    <row r="35">
      <c r="A35" s="7" t="n">
        <v>10</v>
      </c>
      <c r="B35" s="9">
        <f>1-(1-B$25)^$A35</f>
        <v/>
      </c>
      <c r="C35" s="9">
        <f>1-(1-C$25)^$A35</f>
        <v/>
      </c>
      <c r="D35" s="9">
        <f>1-(1-D$25)^$A35</f>
        <v/>
      </c>
    </row>
    <row r="36">
      <c r="A36" s="7" t="n">
        <v>11</v>
      </c>
      <c r="B36" s="9">
        <f>1-(1-B$25)^$A36</f>
        <v/>
      </c>
      <c r="C36" s="9">
        <f>1-(1-C$25)^$A36</f>
        <v/>
      </c>
      <c r="D36" s="9">
        <f>1-(1-D$25)^$A36</f>
        <v/>
      </c>
    </row>
    <row r="37">
      <c r="A37" s="7" t="n">
        <v>12</v>
      </c>
      <c r="B37" s="9">
        <f>1-(1-B$25)^$A37</f>
        <v/>
      </c>
      <c r="C37" s="9">
        <f>1-(1-C$25)^$A37</f>
        <v/>
      </c>
      <c r="D37" s="9">
        <f>1-(1-D$25)^$A37</f>
        <v/>
      </c>
    </row>
    <row r="38">
      <c r="A38" s="7" t="n">
        <v>13</v>
      </c>
      <c r="B38" s="9">
        <f>1-(1-B$25)^$A38</f>
        <v/>
      </c>
      <c r="C38" s="9">
        <f>1-(1-C$25)^$A38</f>
        <v/>
      </c>
      <c r="D38" s="9">
        <f>1-(1-D$25)^$A38</f>
        <v/>
      </c>
    </row>
    <row r="39">
      <c r="A39" s="7" t="n">
        <v>14</v>
      </c>
      <c r="B39" s="9">
        <f>1-(1-B$25)^$A39</f>
        <v/>
      </c>
      <c r="C39" s="9">
        <f>1-(1-C$25)^$A39</f>
        <v/>
      </c>
      <c r="D39" s="9">
        <f>1-(1-D$25)^$A39</f>
        <v/>
      </c>
    </row>
    <row r="40">
      <c r="A40" s="7" t="n">
        <v>15</v>
      </c>
      <c r="B40" s="9">
        <f>1-(1-B$25)^$A40</f>
        <v/>
      </c>
      <c r="C40" s="9">
        <f>1-(1-C$25)^$A40</f>
        <v/>
      </c>
      <c r="D40" s="9">
        <f>1-(1-D$25)^$A40</f>
        <v/>
      </c>
    </row>
    <row r="41">
      <c r="A41" s="7" t="n">
        <v>16</v>
      </c>
      <c r="B41" s="9">
        <f>1-(1-B$25)^$A41</f>
        <v/>
      </c>
      <c r="C41" s="9">
        <f>1-(1-C$25)^$A41</f>
        <v/>
      </c>
      <c r="D41" s="9">
        <f>1-(1-D$25)^$A41</f>
        <v/>
      </c>
    </row>
    <row r="42">
      <c r="A42" s="7" t="n">
        <v>17</v>
      </c>
      <c r="B42" s="9">
        <f>1-(1-B$25)^$A42</f>
        <v/>
      </c>
      <c r="C42" s="9">
        <f>1-(1-C$25)^$A42</f>
        <v/>
      </c>
      <c r="D42" s="9">
        <f>1-(1-D$25)^$A42</f>
        <v/>
      </c>
    </row>
    <row r="43">
      <c r="A43" s="7" t="n">
        <v>18</v>
      </c>
      <c r="B43" s="9">
        <f>1-(1-B$25)^$A43</f>
        <v/>
      </c>
      <c r="C43" s="9">
        <f>1-(1-C$25)^$A43</f>
        <v/>
      </c>
      <c r="D43" s="9">
        <f>1-(1-D$25)^$A43</f>
        <v/>
      </c>
    </row>
    <row r="44">
      <c r="A44" s="7" t="n">
        <v>19</v>
      </c>
      <c r="B44" s="9">
        <f>1-(1-B$25)^$A44</f>
        <v/>
      </c>
      <c r="C44" s="9">
        <f>1-(1-C$25)^$A44</f>
        <v/>
      </c>
      <c r="D44" s="9">
        <f>1-(1-D$25)^$A44</f>
        <v/>
      </c>
    </row>
    <row r="45">
      <c r="A45" s="7" t="n">
        <v>20</v>
      </c>
      <c r="B45" s="9">
        <f>1-(1-B$25)^$A45</f>
        <v/>
      </c>
      <c r="C45" s="9">
        <f>1-(1-C$25)^$A45</f>
        <v/>
      </c>
      <c r="D45" s="9">
        <f>1-(1-D$25)^$A45</f>
        <v/>
      </c>
    </row>
  </sheetData>
  <mergeCells count="1">
    <mergeCell ref="A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46" customWidth="1" min="1" max="1"/>
    <col width="10" customWidth="1" min="2" max="2"/>
    <col width="22" customWidth="1" min="3" max="3"/>
    <col width="16" customWidth="1" min="4" max="4"/>
    <col width="14" customWidth="1" min="5" max="5"/>
    <col width="10" customWidth="1" min="6" max="6"/>
  </cols>
  <sheetData>
    <row r="1">
      <c r="A1" s="1" t="inlineStr">
        <is>
          <t>CALC-3 · LOOP BUDGET</t>
        </is>
      </c>
    </row>
    <row r="2">
      <c r="A2" s="5" t="inlineStr">
        <is>
          <t>What can one run, and a month of runs, cost in money and time?</t>
        </is>
      </c>
    </row>
    <row r="4">
      <c r="A4" s="6" t="inlineStr">
        <is>
          <t>Input</t>
        </is>
      </c>
      <c r="B4" s="6" t="inlineStr">
        <is>
          <t>Symbol</t>
        </is>
      </c>
      <c r="C4" s="6" t="inlineStr">
        <is>
          <t>Example (INVENTED prices)</t>
        </is>
      </c>
      <c r="D4" s="6" t="inlineStr">
        <is>
          <t>Yours</t>
        </is>
      </c>
    </row>
    <row r="5">
      <c r="A5" s="7" t="inlineStr">
        <is>
          <t>Input tokens per iteration</t>
        </is>
      </c>
      <c r="B5" s="7" t="inlineStr">
        <is>
          <t>Tin</t>
        </is>
      </c>
      <c r="C5" s="20" t="n">
        <v>20000</v>
      </c>
      <c r="D5" s="20" t="n"/>
    </row>
    <row r="6">
      <c r="A6" s="7" t="inlineStr">
        <is>
          <t>Output tokens per iteration</t>
        </is>
      </c>
      <c r="B6" s="7" t="inlineStr">
        <is>
          <t>Tout</t>
        </is>
      </c>
      <c r="C6" s="20" t="n">
        <v>2000</v>
      </c>
      <c r="D6" s="20" t="n"/>
    </row>
    <row r="7">
      <c r="A7" s="7" t="inlineStr">
        <is>
          <t>Price per million input tokens ($) ⚠VERIFY</t>
        </is>
      </c>
      <c r="B7" s="7" t="inlineStr">
        <is>
          <t>Pin</t>
        </is>
      </c>
      <c r="C7" s="21" t="n">
        <v>4</v>
      </c>
      <c r="D7" s="22" t="n"/>
    </row>
    <row r="8">
      <c r="A8" s="7" t="inlineStr">
        <is>
          <t>Price per million output tokens ($) ⚠VERIFY</t>
        </is>
      </c>
      <c r="B8" s="7" t="inlineStr">
        <is>
          <t>Pout</t>
        </is>
      </c>
      <c r="C8" s="21" t="n">
        <v>20</v>
      </c>
      <c r="D8" s="22" t="n"/>
    </row>
    <row r="9">
      <c r="A9" s="7" t="inlineStr">
        <is>
          <t>Chance one iteration succeeds (from CALC-2)</t>
        </is>
      </c>
      <c r="B9" s="7" t="inlineStr">
        <is>
          <t>p</t>
        </is>
      </c>
      <c r="C9" s="8" t="n">
        <v>0.5</v>
      </c>
      <c r="D9" s="8" t="n"/>
    </row>
    <row r="10">
      <c r="A10" s="7" t="inlineStr">
        <is>
          <t>Iteration cap (from CALC-2)</t>
        </is>
      </c>
      <c r="B10" s="7" t="inlineStr">
        <is>
          <t>N</t>
        </is>
      </c>
      <c r="C10" s="14" t="n">
        <v>5</v>
      </c>
      <c r="D10" s="14" t="n"/>
    </row>
    <row r="11">
      <c r="A11" s="7" t="inlineStr">
        <is>
          <t>Minutes per iteration</t>
        </is>
      </c>
      <c r="B11" s="7" t="inlineStr">
        <is>
          <t>M</t>
        </is>
      </c>
      <c r="C11" s="19" t="n">
        <v>3</v>
      </c>
      <c r="D11" s="19" t="n"/>
    </row>
    <row r="12">
      <c r="A12" s="7" t="inlineStr">
        <is>
          <t>Runs per month</t>
        </is>
      </c>
      <c r="B12" s="7" t="inlineStr">
        <is>
          <t>R</t>
        </is>
      </c>
      <c r="C12" s="14" t="n">
        <v>30</v>
      </c>
      <c r="D12" s="14" t="n"/>
    </row>
    <row r="14">
      <c r="A14" s="6" t="inlineStr">
        <is>
          <t>Result</t>
        </is>
      </c>
      <c r="B14" s="6" t="inlineStr"/>
      <c r="C14" s="6" t="inlineStr">
        <is>
          <t>Example</t>
        </is>
      </c>
      <c r="D14" s="6" t="inlineStr">
        <is>
          <t>Yours</t>
        </is>
      </c>
    </row>
    <row r="15">
      <c r="A15" s="7" t="inlineStr">
        <is>
          <t>Cost per iteration = (Tin×Pin + Tout×Pout) ÷ 1,000,000</t>
        </is>
      </c>
      <c r="C15" s="23">
        <f>(C5*C7+C6*C8)/1000000</f>
        <v/>
      </c>
      <c r="D15" s="23">
        <f>IF(COUNT(D5:D8)=4,(D5*D7+D6*D8)/1000000,"")</f>
        <v/>
      </c>
    </row>
    <row r="16">
      <c r="A16" s="7" t="inlineStr">
        <is>
          <t>Typical run ≈ (1 ÷ p) × cost per iteration</t>
        </is>
      </c>
      <c r="C16" s="23">
        <f>(1/C9)*C15</f>
        <v/>
      </c>
      <c r="D16" s="23">
        <f>IF(AND(ISNUMBER(D9),ISNUMBER(D15)),(1/D9)*D15,"")</f>
        <v/>
      </c>
    </row>
    <row r="17">
      <c r="A17" s="7" t="inlineStr">
        <is>
          <t>Ceiling per run = N × cost per iteration</t>
        </is>
      </c>
      <c r="C17" s="23">
        <f>C10*C15</f>
        <v/>
      </c>
      <c r="D17" s="23">
        <f>IF(AND(ISNUMBER(D10),ISNUMBER(D15)),D10*D15,"")</f>
        <v/>
      </c>
    </row>
    <row r="18">
      <c r="A18" s="7" t="inlineStr">
        <is>
          <t>Monthly ceiling = R × ceiling per run</t>
        </is>
      </c>
      <c r="C18" s="23">
        <f>C12*C17</f>
        <v/>
      </c>
      <c r="D18" s="23">
        <f>IF(AND(ISNUMBER(D12),ISNUMBER(D17)),D12*D17,"")</f>
        <v/>
      </c>
    </row>
    <row r="19">
      <c r="A19" s="7" t="inlineStr">
        <is>
          <t>Time ceiling per run (minutes) = N × M</t>
        </is>
      </c>
      <c r="C19" s="15">
        <f>C10*C11</f>
        <v/>
      </c>
      <c r="D19" s="15">
        <f>IF(COUNT(D10:D11)=2,D10*D11,"")</f>
        <v/>
      </c>
    </row>
    <row r="21" ht="58" customHeight="1">
      <c r="A21" s="3" t="inlineStr">
        <is>
          <t>The 'Example' prices are INVENTED round numbers for easy arithmetic, not real prices. Put current prices from Anthropic's pricing page in the orange 'Yours' cells (FIELD WORK). Prompt caching and subscription plans change the picture: check the current pricing and plan pages.</t>
        </is>
      </c>
    </row>
    <row r="23">
      <c r="A23" s="6" t="inlineStr">
        <is>
          <t>Checksum (Example column)</t>
        </is>
      </c>
      <c r="B23" s="6" t="inlineStr"/>
      <c r="C23" s="6" t="inlineStr">
        <is>
          <t>Workbook</t>
        </is>
      </c>
      <c r="D23" s="6" t="inlineStr">
        <is>
          <t>Expected</t>
        </is>
      </c>
      <c r="E23" s="6" t="inlineStr">
        <is>
          <t>Match</t>
        </is>
      </c>
    </row>
    <row r="24">
      <c r="A24" s="7" t="inlineStr">
        <is>
          <t>Cost per iteration</t>
        </is>
      </c>
      <c r="C24" s="16">
        <f>C15</f>
        <v/>
      </c>
      <c r="D24" s="11" t="n">
        <v>0.12</v>
      </c>
      <c r="E24" s="10">
        <f>IF(ABS(C24-D24)&lt;0.0005,"yes","NO")</f>
        <v/>
      </c>
    </row>
    <row r="25">
      <c r="A25" s="7" t="inlineStr">
        <is>
          <t>Typical run</t>
        </is>
      </c>
      <c r="C25" s="16">
        <f>C16</f>
        <v/>
      </c>
      <c r="D25" s="11" t="n">
        <v>0.24</v>
      </c>
      <c r="E25" s="10">
        <f>IF(ABS(C25-D25)&lt;0.0005,"yes","NO")</f>
        <v/>
      </c>
    </row>
    <row r="26">
      <c r="A26" s="7" t="inlineStr">
        <is>
          <t>Ceiling per run</t>
        </is>
      </c>
      <c r="C26" s="16">
        <f>C17</f>
        <v/>
      </c>
      <c r="D26" s="11" t="n">
        <v>0.6</v>
      </c>
      <c r="E26" s="10">
        <f>IF(ABS(C26-D26)&lt;0.0005,"yes","NO")</f>
        <v/>
      </c>
    </row>
    <row r="27">
      <c r="A27" s="7" t="inlineStr">
        <is>
          <t>Monthly ceiling</t>
        </is>
      </c>
      <c r="C27" s="16">
        <f>C18</f>
        <v/>
      </c>
      <c r="D27" s="11" t="n">
        <v>18</v>
      </c>
      <c r="E27" s="10">
        <f>IF(ABS(C27-D27)&lt;0.0005,"yes","NO")</f>
        <v/>
      </c>
    </row>
    <row r="28">
      <c r="A28" s="7" t="inlineStr">
        <is>
          <t>Time ceiling (min)</t>
        </is>
      </c>
      <c r="C28" s="16">
        <f>C19</f>
        <v/>
      </c>
      <c r="D28" s="11" t="n">
        <v>15</v>
      </c>
      <c r="E28" s="10">
        <f>IF(ABS(C28-D28)&lt;0.0005,"yes","NO")</f>
        <v/>
      </c>
    </row>
  </sheetData>
  <mergeCells count="1">
    <mergeCell ref="A21:E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0" customWidth="1" min="1" max="1"/>
    <col width="9" customWidth="1" min="2" max="2"/>
    <col width="12" customWidth="1" min="3" max="3"/>
    <col width="12" customWidth="1" min="4" max="4"/>
    <col width="18" customWidth="1" min="5" max="5"/>
    <col width="12" customWidth="1" min="6" max="6"/>
    <col width="60" customWidth="1" min="7" max="7"/>
  </cols>
  <sheetData>
    <row r="1">
      <c r="A1" s="1" t="inlineStr">
        <is>
          <t>CALC-4 · LOOP SCORECARD /100</t>
        </is>
      </c>
    </row>
    <row r="2">
      <c r="A2" s="5" t="inlineStr">
        <is>
          <t>Rate each criterion 0-5. Score = 3 × (criteria 1-4) + 2 × (criteria 5-8).</t>
        </is>
      </c>
    </row>
    <row r="4">
      <c r="A4" s="6" t="inlineStr">
        <is>
          <t>Criterion</t>
        </is>
      </c>
      <c r="B4" s="6" t="inlineStr">
        <is>
          <t>Weight</t>
        </is>
      </c>
      <c r="C4" s="6" t="inlineStr">
        <is>
          <t>CS-1 v1</t>
        </is>
      </c>
      <c r="D4" s="6" t="inlineStr">
        <is>
          <t>CS-1 v2</t>
        </is>
      </c>
      <c r="E4" s="6" t="inlineStr">
        <is>
          <t>kit loop.sh default</t>
        </is>
      </c>
      <c r="F4" s="6" t="inlineStr">
        <is>
          <t>Yours</t>
        </is>
      </c>
      <c r="G4" s="6" t="inlineStr">
        <is>
          <t>What a 5 looks like</t>
        </is>
      </c>
    </row>
    <row r="5">
      <c r="A5" s="24" t="inlineStr">
        <is>
          <t>1 Goal &amp; done condition</t>
        </is>
      </c>
      <c r="B5" s="7" t="n">
        <v>3</v>
      </c>
      <c r="C5" s="14" t="n">
        <v>2</v>
      </c>
      <c r="D5" s="14" t="n">
        <v>5</v>
      </c>
      <c r="E5" s="14" t="n">
        <v>2</v>
      </c>
      <c r="F5" s="14" t="n"/>
      <c r="G5" s="25" t="inlineStr">
        <is>
          <t>An end state a machine can check, with a success exit and a failure exit</t>
        </is>
      </c>
    </row>
    <row r="6">
      <c r="A6" s="24" t="inlineStr">
        <is>
          <t>2 Checker</t>
        </is>
      </c>
      <c r="B6" s="7" t="n">
        <v>3</v>
      </c>
      <c r="C6" s="14" t="n">
        <v>1</v>
      </c>
      <c r="D6" s="14" t="n">
        <v>5</v>
      </c>
      <c r="E6" s="14" t="n">
        <v>2</v>
      </c>
      <c r="F6" s="14" t="n"/>
      <c r="G6" s="25" t="inlineStr">
        <is>
          <t>Separate from the maker, 'not yet' by default, trust estimated with CALC-1</t>
        </is>
      </c>
    </row>
    <row r="7">
      <c r="A7" s="24" t="inlineStr">
        <is>
          <t>3 Stop rules &amp; budget</t>
        </is>
      </c>
      <c r="B7" s="7" t="n">
        <v>3</v>
      </c>
      <c r="C7" s="14" t="n">
        <v>0</v>
      </c>
      <c r="D7" s="14" t="n">
        <v>5</v>
      </c>
      <c r="E7" s="14" t="n">
        <v>4</v>
      </c>
      <c r="F7" s="14" t="n"/>
      <c r="G7" s="25" t="inlineStr">
        <is>
          <t>Caps on iterations, spend, and time; a STUCK rule; the ceiling known from CALC-2 and CALC-3</t>
        </is>
      </c>
    </row>
    <row r="8">
      <c r="A8" s="24" t="inlineStr">
        <is>
          <t>4 Safety</t>
        </is>
      </c>
      <c r="B8" s="7" t="n">
        <v>3</v>
      </c>
      <c r="C8" s="14" t="n">
        <v>1</v>
      </c>
      <c r="D8" s="14" t="n">
        <v>4</v>
      </c>
      <c r="E8" s="14" t="n">
        <v>4</v>
      </c>
      <c r="F8" s="14" t="n"/>
      <c r="G8" s="25" t="inlineStr">
        <is>
          <t>Isolated workspace, least permissions, no destructive defaults, secrets out, injection considered, a kill switch</t>
        </is>
      </c>
    </row>
    <row r="9">
      <c r="A9" s="7" t="inlineStr">
        <is>
          <t>5 State &amp; memory</t>
        </is>
      </c>
      <c r="B9" s="7" t="n">
        <v>2</v>
      </c>
      <c r="C9" s="14" t="n">
        <v>1</v>
      </c>
      <c r="D9" s="14" t="n">
        <v>4</v>
      </c>
      <c r="E9" s="14" t="n">
        <v>3</v>
      </c>
      <c r="F9" s="14" t="n"/>
      <c r="G9" s="25" t="inlineStr">
        <is>
          <t>Kept in files outside the model; a fresh session can resume from them</t>
        </is>
      </c>
    </row>
    <row r="10">
      <c r="A10" s="7" t="inlineStr">
        <is>
          <t>6 Observability</t>
        </is>
      </c>
      <c r="B10" s="7" t="n">
        <v>2</v>
      </c>
      <c r="C10" s="14" t="n">
        <v>1</v>
      </c>
      <c r="D10" s="14" t="n">
        <v>4</v>
      </c>
      <c r="E10" s="14" t="n">
        <v>3</v>
      </c>
      <c r="F10" s="14" t="n"/>
      <c r="G10" s="25" t="inlineStr">
        <is>
          <t>A run log for every iteration and the five numbers from Level 5</t>
        </is>
      </c>
    </row>
    <row r="11">
      <c r="A11" s="7" t="inlineStr">
        <is>
          <t>7 Human touchpoints</t>
        </is>
      </c>
      <c r="B11" s="7" t="n">
        <v>2</v>
      </c>
      <c r="C11" s="14" t="n">
        <v>1</v>
      </c>
      <c r="D11" s="14" t="n">
        <v>4</v>
      </c>
      <c r="E11" s="14" t="n">
        <v>3</v>
      </c>
      <c r="F11" s="14" t="n"/>
      <c r="G11" s="25" t="inlineStr">
        <is>
          <t>An escalation package, approval where the stakes need it, the autonomy rung stated</t>
        </is>
      </c>
    </row>
    <row r="12">
      <c r="A12" s="7" t="inlineStr">
        <is>
          <t>8 Reusability</t>
        </is>
      </c>
      <c r="B12" s="7" t="n">
        <v>2</v>
      </c>
      <c r="C12" s="14" t="n">
        <v>1</v>
      </c>
      <c r="D12" s="14" t="n">
        <v>4</v>
      </c>
      <c r="E12" s="14" t="n">
        <v>4</v>
      </c>
      <c r="F12" s="14" t="n"/>
      <c r="G12" s="25" t="inlineStr">
        <is>
          <t>A one-page Loop Spec, a version number, placeholders, easy to adapt</t>
        </is>
      </c>
    </row>
    <row r="13">
      <c r="A13" s="24" t="inlineStr">
        <is>
          <t>Score /100</t>
        </is>
      </c>
      <c r="C13" s="15">
        <f>IF(COUNT(C5:C12)=8,3*SUM(C5:C8)+2*SUM(C9:C12),"")</f>
        <v/>
      </c>
      <c r="D13" s="15">
        <f>IF(COUNT(D5:D12)=8,3*SUM(D5:D8)+2*SUM(D9:D12),"")</f>
        <v/>
      </c>
      <c r="E13" s="15">
        <f>IF(COUNT(E5:E12)=8,3*SUM(E5:E8)+2*SUM(E9:E12),"")</f>
        <v/>
      </c>
      <c r="F13" s="15">
        <f>IF(COUNT(F5:F12)=8,3*SUM(F5:F8)+2*SUM(F9:F12),"")</f>
        <v/>
      </c>
    </row>
    <row r="14">
      <c r="A14" s="24" t="inlineStr">
        <is>
          <t>Band</t>
        </is>
      </c>
      <c r="C14" s="10">
        <f>IF(C13="","",IF(C13&gt;=90,"hero-grade",IF(C13&gt;=75,"strong",IF(C13&gt;=60,"working","draft"))))</f>
        <v/>
      </c>
      <c r="D14" s="10">
        <f>IF(D13="","",IF(D13&gt;=90,"hero-grade",IF(D13&gt;=75,"strong",IF(D13&gt;=60,"working","draft"))))</f>
        <v/>
      </c>
      <c r="E14" s="10">
        <f>IF(E13="","",IF(E13&gt;=90,"hero-grade",IF(E13&gt;=75,"strong",IF(E13&gt;=60,"working","draft"))))</f>
        <v/>
      </c>
      <c r="F14" s="10">
        <f>IF(F13="","",IF(F13&gt;=90,"hero-grade",IF(F13&gt;=75,"strong",IF(F13&gt;=60,"working","draft"))))</f>
        <v/>
      </c>
    </row>
    <row r="16" ht="32" customHeight="1">
      <c r="A16" s="3" t="inlineStr">
        <is>
          <t>Bands: 0-59 draft (don't run unattended) · 60-74 working (run it while you watch) · 75-89 strong (unattended, with caps and spot checks) · 90-100 hero-grade. Every rating below 4 names the fix that would raise it.</t>
        </is>
      </c>
    </row>
    <row r="18">
      <c r="A18" s="6" t="inlineStr">
        <is>
          <t>Checksum</t>
        </is>
      </c>
      <c r="B18" s="6" t="inlineStr"/>
      <c r="C18" s="6" t="inlineStr">
        <is>
          <t>Workbook</t>
        </is>
      </c>
      <c r="D18" s="6" t="inlineStr">
        <is>
          <t>Expected</t>
        </is>
      </c>
      <c r="E18" s="6" t="inlineStr">
        <is>
          <t>Match</t>
        </is>
      </c>
    </row>
    <row r="19">
      <c r="A19" s="7" t="inlineStr">
        <is>
          <t>CS-1 v1</t>
        </is>
      </c>
      <c r="C19" s="15">
        <f>C13</f>
        <v/>
      </c>
      <c r="D19" s="7" t="n">
        <v>20</v>
      </c>
      <c r="E19" s="10">
        <f>IF(C19=D19,"yes","NO")</f>
        <v/>
      </c>
    </row>
    <row r="20">
      <c r="A20" s="7" t="inlineStr">
        <is>
          <t>CS-1 v2</t>
        </is>
      </c>
      <c r="C20" s="15">
        <f>D13</f>
        <v/>
      </c>
      <c r="D20" s="7" t="n">
        <v>89</v>
      </c>
      <c r="E20" s="10">
        <f>IF(C20=D20,"yes","NO")</f>
        <v/>
      </c>
    </row>
    <row r="21">
      <c r="A21" s="7" t="inlineStr">
        <is>
          <t>kit loop.sh default</t>
        </is>
      </c>
      <c r="C21" s="15">
        <f>E13</f>
        <v/>
      </c>
      <c r="D21" s="7" t="n">
        <v>62</v>
      </c>
      <c r="E21" s="10">
        <f>IF(C21=D21,"yes","NO")</f>
        <v/>
      </c>
    </row>
  </sheetData>
  <mergeCells count="1">
    <mergeCell ref="A16:G16"/>
  </mergeCells>
  <dataValidations count="1">
    <dataValidation sqref="C5 C6 C7 C8 C9 C10 C11 C12 D5 D6 D7 D8 D9 D10 D11 D12 E5 E6 E7 E8 E9 E10 E11 E12 F5 F6 F7 F8 F9 F10 F11 F12" showDropDown="0" showInputMessage="0" showErrorMessage="1" allowBlank="1" errorTitle="0 to 5" error="Ratings are whole numbers from 0 to 5." type="whole" operator="between">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8" customWidth="1" min="1" max="1"/>
    <col width="52" customWidth="1" min="2" max="2"/>
    <col width="70" customWidth="1" min="3" max="3"/>
  </cols>
  <sheetData>
    <row r="1">
      <c r="A1" s="1" t="inlineStr">
        <is>
          <t>LOOP CANVAS · the nine-box Loop Spec</t>
        </is>
      </c>
    </row>
    <row r="2">
      <c r="A2" s="5" t="inlineStr">
        <is>
          <t>Matches kit/LOOP-SPEC.md. Fill in the yellow cells; start from DONE WHEN (TIP-1.1).</t>
        </is>
      </c>
    </row>
    <row r="4">
      <c r="A4" s="6" t="inlineStr">
        <is>
          <t>Header</t>
        </is>
      </c>
      <c r="B4" s="6" t="inlineStr">
        <is>
          <t>Question</t>
        </is>
      </c>
      <c r="C4" s="6" t="inlineStr">
        <is>
          <t>Your answer</t>
        </is>
      </c>
    </row>
    <row r="5">
      <c r="A5" s="24" t="inlineStr">
        <is>
          <t>NAME</t>
        </is>
      </c>
      <c r="B5" s="25" t="inlineStr">
        <is>
          <t>What do you call this loop?</t>
        </is>
      </c>
      <c r="C5" s="26" t="n"/>
    </row>
    <row r="6">
      <c r="A6" s="24" t="inlineStr">
        <is>
          <t>VERSION</t>
        </is>
      </c>
      <c r="B6" s="25" t="inlineStr">
        <is>
          <t>v0.1, then bump on every change</t>
        </is>
      </c>
      <c r="C6" s="26" t="n"/>
    </row>
    <row r="7">
      <c r="A7" s="24" t="inlineStr">
        <is>
          <t>OWNER</t>
        </is>
      </c>
      <c r="B7" s="25" t="inlineStr">
        <is>
          <t>Which person owns it? (not 'the team')</t>
        </is>
      </c>
      <c r="C7" s="26" t="n"/>
    </row>
    <row r="8">
      <c r="A8" s="24" t="inlineStr">
        <is>
          <t>AUTONOMY RUNG</t>
        </is>
      </c>
      <c r="B8" s="25" t="inlineStr">
        <is>
          <t>1 watch · 2 suggest · 3 act with approval · 4 act alone</t>
        </is>
      </c>
      <c r="C8" s="26" t="n"/>
    </row>
    <row r="9">
      <c r="A9" s="24" t="inlineStr">
        <is>
          <t>RISK LEVEL</t>
        </is>
      </c>
      <c r="B9" s="25" t="inlineStr">
        <is>
          <t>What a bad run costs: low · medium · high</t>
        </is>
      </c>
      <c r="C9" s="26" t="n"/>
    </row>
    <row r="11">
      <c r="A11" s="6" t="inlineStr">
        <is>
          <t>Box</t>
        </is>
      </c>
      <c r="B11" s="6" t="inlineStr">
        <is>
          <t>Question</t>
        </is>
      </c>
      <c r="C11" s="6" t="inlineStr">
        <is>
          <t>Your answer</t>
        </is>
      </c>
    </row>
    <row r="12" ht="42" customHeight="1">
      <c r="A12" s="24" t="inlineStr">
        <is>
          <t>1 GOAL</t>
        </is>
      </c>
      <c r="B12" s="25" t="inlineStr">
        <is>
          <t>What end state are we after, in one sentence?</t>
        </is>
      </c>
      <c r="C12" s="26" t="n"/>
    </row>
    <row r="13" ht="42" customHeight="1">
      <c r="A13" s="24" t="inlineStr">
        <is>
          <t>2 DONE WHEN</t>
        </is>
      </c>
      <c r="B13" s="25" t="inlineStr">
        <is>
          <t>How can a machine tell the goal is reached? (the success exit)</t>
        </is>
      </c>
      <c r="C13" s="26" t="n"/>
    </row>
    <row r="14" ht="42" customHeight="1">
      <c r="A14" s="24" t="inlineStr">
        <is>
          <t>3 TRIGGER</t>
        </is>
      </c>
      <c r="B14" s="25" t="inlineStr">
        <is>
          <t>What starts a run: you, a schedule, an event, or a goal?</t>
        </is>
      </c>
      <c r="C14" s="26" t="n"/>
    </row>
    <row r="15" ht="42" customHeight="1">
      <c r="A15" s="24" t="inlineStr">
        <is>
          <t>4 ACTOR</t>
        </is>
      </c>
      <c r="B15" s="25" t="inlineStr">
        <is>
          <t>Which agent and model, with which tools allowed?</t>
        </is>
      </c>
      <c r="C15" s="26" t="n"/>
    </row>
    <row r="16" ht="42" customHeight="1">
      <c r="A16" s="24" t="inlineStr">
        <is>
          <t>5 CONTEXT</t>
        </is>
      </c>
      <c r="B16" s="25" t="inlineStr">
        <is>
          <t>What does each run read first?</t>
        </is>
      </c>
      <c r="C16" s="26" t="n"/>
    </row>
    <row r="17" ht="42" customHeight="1">
      <c r="A17" s="24" t="inlineStr">
        <is>
          <t>6 CHECKER</t>
        </is>
      </c>
      <c r="B17" s="25" t="inlineStr">
        <is>
          <t>Who checks, how, and with what default? (not yet)</t>
        </is>
      </c>
      <c r="C17" s="26" t="n"/>
    </row>
    <row r="18" ht="42" customHeight="1">
      <c r="A18" s="24" t="inlineStr">
        <is>
          <t>7 STATE</t>
        </is>
      </c>
      <c r="B18" s="25" t="inlineStr">
        <is>
          <t>What gets written down between runs, and where?</t>
        </is>
      </c>
      <c r="C18" s="26" t="n"/>
    </row>
    <row r="19" ht="42" customHeight="1">
      <c r="A19" s="24" t="inlineStr">
        <is>
          <t>8 LIMITS</t>
        </is>
      </c>
      <c r="B19" s="25" t="inlineStr">
        <is>
          <t>DONE · CAP · STUCK · DANGER · HUMAN: one rule each</t>
        </is>
      </c>
      <c r="C19" s="26" t="n"/>
    </row>
    <row r="20" ht="42" customHeight="1">
      <c r="A20" s="24" t="inlineStr">
        <is>
          <t>9 ESCALATION</t>
        </is>
      </c>
      <c r="B20" s="25" t="inlineStr">
        <is>
          <t>Who gets called, with what evidence?</t>
        </is>
      </c>
      <c r="C20" s="26" t="n"/>
    </row>
    <row r="22">
      <c r="A22" s="6" t="inlineStr">
        <is>
          <t>Changelog</t>
        </is>
      </c>
      <c r="B22" s="6" t="inlineStr">
        <is>
          <t>Date</t>
        </is>
      </c>
      <c r="C22" s="6" t="inlineStr">
        <is>
          <t>What changed, and why</t>
        </is>
      </c>
    </row>
    <row r="23">
      <c r="A23" s="27" t="n"/>
      <c r="B23" s="27" t="n"/>
      <c r="C23" s="26" t="n"/>
    </row>
    <row r="24">
      <c r="A24" s="27" t="n"/>
      <c r="B24" s="27" t="n"/>
      <c r="C24" s="26" t="n"/>
    </row>
    <row r="25">
      <c r="A25" s="27" t="n"/>
      <c r="B25" s="27" t="n"/>
      <c r="C25" s="26" t="n"/>
    </row>
    <row r="26">
      <c r="A26" s="27" t="n"/>
      <c r="B26" s="27" t="n"/>
      <c r="C26" s="26" t="n"/>
    </row>
    <row r="27">
      <c r="A27" s="27" t="n"/>
      <c r="B27" s="27" t="n"/>
      <c r="C27" s="2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03"/>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13" customWidth="1" min="4" max="4"/>
    <col width="12" customWidth="1" min="5" max="5"/>
    <col width="11" customWidth="1" min="6" max="6"/>
    <col width="11" customWidth="1" min="7" max="7"/>
    <col width="11" customWidth="1" min="8" max="8"/>
    <col width="48" customWidth="1" min="9" max="9"/>
    <col width="12" customWidth="1" min="10" max="10"/>
    <col width="34" customWidth="1" min="12" max="12"/>
    <col width="14" customWidth="1" min="13" max="13"/>
  </cols>
  <sheetData>
    <row r="1">
      <c r="A1" s="1" t="inlineStr">
        <is>
          <t>RUN LOG · one row per iteration (same columns as kit/loop.sh)</t>
        </is>
      </c>
    </row>
    <row r="3">
      <c r="A3" s="6" t="inlineStr">
        <is>
          <t>iteration</t>
        </is>
      </c>
      <c r="B3" s="6" t="inlineStr">
        <is>
          <t>started_at</t>
        </is>
      </c>
      <c r="C3" s="6" t="inlineStr">
        <is>
          <t>action</t>
        </is>
      </c>
      <c r="D3" s="6" t="inlineStr">
        <is>
          <t>check_result</t>
        </is>
      </c>
      <c r="E3" s="6" t="inlineStr">
        <is>
          <t>stop_reason</t>
        </is>
      </c>
      <c r="F3" s="6" t="inlineStr">
        <is>
          <t>tokens_in</t>
        </is>
      </c>
      <c r="G3" s="6" t="inlineStr">
        <is>
          <t>tokens_out</t>
        </is>
      </c>
      <c r="H3" s="6" t="inlineStr">
        <is>
          <t>diff_lines</t>
        </is>
      </c>
      <c r="I3" s="6" t="inlineStr">
        <is>
          <t>note</t>
        </is>
      </c>
      <c r="J3" s="6" t="inlineStr">
        <is>
          <t>cost ($)</t>
        </is>
      </c>
      <c r="L3" s="28" t="inlineStr">
        <is>
          <t>SUMMARY (rows 4-503)</t>
        </is>
      </c>
      <c r="M3" s="29" t="n"/>
    </row>
    <row r="4">
      <c r="A4" s="30" t="n">
        <v>1</v>
      </c>
      <c r="B4" s="30" t="inlineStr">
        <is>
          <t>2026-09-20T02:00:04Z</t>
        </is>
      </c>
      <c r="C4" s="30" t="inlineStr">
        <is>
          <t>agent</t>
        </is>
      </c>
      <c r="D4" s="30" t="inlineStr">
        <is>
          <t>fail</t>
        </is>
      </c>
      <c r="E4" s="30" t="n"/>
      <c r="F4" s="30" t="n">
        <v>21044</v>
      </c>
      <c r="G4" s="30" t="n">
        <v>1893</v>
      </c>
      <c r="H4" s="30" t="n">
        <v>14</v>
      </c>
      <c r="I4" s="30" t="inlineStr">
        <is>
          <t>FAIL: test_refund_rounding expected 10.01, got 10.00</t>
        </is>
      </c>
      <c r="J4" s="31">
        <f>IF(AND(ISNUMBER(F4),ISNUMBER(G4)),(F4*IF(ISNUMBER('CALC-3 Budget'!$D$7),'CALC-3 Budget'!$D$7,'CALC-3 Budget'!$C$7)+G4*IF(ISNUMBER('CALC-3 Budget'!$D$8),'CALC-3 Budget'!$D$8,'CALC-3 Budget'!$C$8))/1000000,"")</f>
        <v/>
      </c>
      <c r="L4" s="7" t="inlineStr">
        <is>
          <t>Runs (rows with a stop_reason)</t>
        </is>
      </c>
      <c r="M4" s="15">
        <f>COUNTA(E4:E503)</f>
        <v/>
      </c>
    </row>
    <row r="5">
      <c r="A5" s="30" t="n">
        <v>2</v>
      </c>
      <c r="B5" s="30" t="inlineStr">
        <is>
          <t>2026-09-20T02:03:11Z</t>
        </is>
      </c>
      <c r="C5" s="30" t="inlineStr">
        <is>
          <t>agent</t>
        </is>
      </c>
      <c r="D5" s="30" t="inlineStr">
        <is>
          <t>fail</t>
        </is>
      </c>
      <c r="E5" s="30" t="n"/>
      <c r="F5" s="30" t="n">
        <v>22318</v>
      </c>
      <c r="G5" s="30" t="n">
        <v>2210</v>
      </c>
      <c r="H5" s="30" t="n">
        <v>9</v>
      </c>
      <c r="I5" s="30" t="inlineStr">
        <is>
          <t>FAIL: test_tax_totals expected 3.15, got 3.14</t>
        </is>
      </c>
      <c r="J5" s="31">
        <f>IF(AND(ISNUMBER(F5),ISNUMBER(G5)),(F5*IF(ISNUMBER('CALC-3 Budget'!$D$7),'CALC-3 Budget'!$D$7,'CALC-3 Budget'!$C$7)+G5*IF(ISNUMBER('CALC-3 Budget'!$D$8),'CALC-3 Budget'!$D$8,'CALC-3 Budget'!$C$8))/1000000,"")</f>
        <v/>
      </c>
      <c r="L5" s="7" t="inlineStr">
        <is>
          <t>Successful runs (DONE)</t>
        </is>
      </c>
      <c r="M5" s="15">
        <f>COUNTIF(E4:E503,"DONE")</f>
        <v/>
      </c>
    </row>
    <row r="6">
      <c r="A6" s="30" t="n">
        <v>3</v>
      </c>
      <c r="B6" s="30" t="inlineStr">
        <is>
          <t>2026-09-20T02:06:40Z</t>
        </is>
      </c>
      <c r="C6" s="30" t="inlineStr">
        <is>
          <t>agent</t>
        </is>
      </c>
      <c r="D6" s="30" t="inlineStr">
        <is>
          <t>pass</t>
        </is>
      </c>
      <c r="E6" s="30" t="inlineStr">
        <is>
          <t>DONE</t>
        </is>
      </c>
      <c r="F6" s="30" t="n">
        <v>22901</v>
      </c>
      <c r="G6" s="30" t="n">
        <v>1650</v>
      </c>
      <c r="H6" s="30" t="n">
        <v>6</v>
      </c>
      <c r="I6" s="30" t="inlineStr">
        <is>
          <t>12 passed, 0 failed</t>
        </is>
      </c>
      <c r="J6" s="31">
        <f>IF(AND(ISNUMBER(F6),ISNUMBER(G6)),(F6*IF(ISNUMBER('CALC-3 Budget'!$D$7),'CALC-3 Budget'!$D$7,'CALC-3 Budget'!$C$7)+G6*IF(ISNUMBER('CALC-3 Budget'!$D$8),'CALC-3 Budget'!$D$8,'CALC-3 Budget'!$C$8))/1000000,"")</f>
        <v/>
      </c>
      <c r="L6" s="7" t="inlineStr">
        <is>
          <t>Iterations used (not skipped)</t>
        </is>
      </c>
      <c r="M6" s="15">
        <f>COUNTIFS(A4:A503,"&gt;0",D4:D503,"&lt;&gt;skipped")</f>
        <v/>
      </c>
    </row>
    <row r="7">
      <c r="A7" s="30" t="n"/>
      <c r="B7" s="30" t="n"/>
      <c r="C7" s="30" t="n"/>
      <c r="D7" s="30" t="n"/>
      <c r="E7" s="30" t="n"/>
      <c r="F7" s="30" t="n"/>
      <c r="G7" s="30" t="n"/>
      <c r="H7" s="30" t="n"/>
      <c r="I7" s="30" t="n"/>
      <c r="J7" s="31">
        <f>IF(AND(ISNUMBER(F7),ISNUMBER(G7)),(F7*IF(ISNUMBER('CALC-3 Budget'!$D$7),'CALC-3 Budget'!$D$7,'CALC-3 Budget'!$C$7)+G7*IF(ISNUMBER('CALC-3 Budget'!$D$8),'CALC-3 Budget'!$D$8,'CALC-3 Budget'!$C$8))/1000000,"")</f>
        <v/>
      </c>
      <c r="L7" s="7" t="inlineStr">
        <is>
          <t>Success rate</t>
        </is>
      </c>
      <c r="M7" s="32">
        <f>IF(M4&gt;0,M5/M4,"")</f>
        <v/>
      </c>
    </row>
    <row r="8">
      <c r="A8" s="30" t="n"/>
      <c r="B8" s="30" t="n"/>
      <c r="C8" s="30" t="n"/>
      <c r="D8" s="30" t="n"/>
      <c r="E8" s="30" t="n"/>
      <c r="F8" s="30" t="n"/>
      <c r="G8" s="30" t="n"/>
      <c r="H8" s="30" t="n"/>
      <c r="I8" s="30" t="n"/>
      <c r="J8" s="31">
        <f>IF(AND(ISNUMBER(F8),ISNUMBER(G8)),(F8*IF(ISNUMBER('CALC-3 Budget'!$D$7),'CALC-3 Budget'!$D$7,'CALC-3 Budget'!$C$7)+G8*IF(ISNUMBER('CALC-3 Budget'!$D$8),'CALC-3 Budget'!$D$8,'CALC-3 Budget'!$C$8))/1000000,"")</f>
        <v/>
      </c>
      <c r="L8" s="7" t="inlineStr">
        <is>
          <t>Iterations per success</t>
        </is>
      </c>
      <c r="M8" s="16">
        <f>IF(M5&gt;0,M6/M5,"")</f>
        <v/>
      </c>
    </row>
    <row r="9">
      <c r="A9" s="30" t="n"/>
      <c r="B9" s="30" t="n"/>
      <c r="C9" s="30" t="n"/>
      <c r="D9" s="30" t="n"/>
      <c r="E9" s="30" t="n"/>
      <c r="F9" s="30" t="n"/>
      <c r="G9" s="30" t="n"/>
      <c r="H9" s="30" t="n"/>
      <c r="I9" s="30" t="n"/>
      <c r="J9" s="31">
        <f>IF(AND(ISNUMBER(F9),ISNUMBER(G9)),(F9*IF(ISNUMBER('CALC-3 Budget'!$D$7),'CALC-3 Budget'!$D$7,'CALC-3 Budget'!$C$7)+G9*IF(ISNUMBER('CALC-3 Budget'!$D$8),'CALC-3 Budget'!$D$8,'CALC-3 Budget'!$C$8))/1000000,"")</f>
        <v/>
      </c>
      <c r="L9" s="7" t="inlineStr">
        <is>
          <t>Total cost ($)</t>
        </is>
      </c>
      <c r="M9" s="23">
        <f>SUM(J4:J503)</f>
        <v/>
      </c>
    </row>
    <row r="10">
      <c r="A10" s="30" t="n"/>
      <c r="B10" s="30" t="n"/>
      <c r="C10" s="30" t="n"/>
      <c r="D10" s="30" t="n"/>
      <c r="E10" s="30" t="n"/>
      <c r="F10" s="30" t="n"/>
      <c r="G10" s="30" t="n"/>
      <c r="H10" s="30" t="n"/>
      <c r="I10" s="30" t="n"/>
      <c r="J10" s="31">
        <f>IF(AND(ISNUMBER(F10),ISNUMBER(G10)),(F10*IF(ISNUMBER('CALC-3 Budget'!$D$7),'CALC-3 Budget'!$D$7,'CALC-3 Budget'!$C$7)+G10*IF(ISNUMBER('CALC-3 Budget'!$D$8),'CALC-3 Budget'!$D$8,'CALC-3 Budget'!$C$8))/1000000,"")</f>
        <v/>
      </c>
      <c r="L10" s="7" t="inlineStr">
        <is>
          <t>Cost per success ($)</t>
        </is>
      </c>
      <c r="M10" s="23">
        <f>IF(M5&gt;0,M9/M5,"")</f>
        <v/>
      </c>
    </row>
    <row r="11">
      <c r="A11" s="30" t="n"/>
      <c r="B11" s="30" t="n"/>
      <c r="C11" s="30" t="n"/>
      <c r="D11" s="30" t="n"/>
      <c r="E11" s="30" t="n"/>
      <c r="F11" s="30" t="n"/>
      <c r="G11" s="30" t="n"/>
      <c r="H11" s="30" t="n"/>
      <c r="I11" s="30" t="n"/>
      <c r="J11" s="31">
        <f>IF(AND(ISNUMBER(F11),ISNUMBER(G11)),(F11*IF(ISNUMBER('CALC-3 Budget'!$D$7),'CALC-3 Budget'!$D$7,'CALC-3 Budget'!$C$7)+G11*IF(ISNUMBER('CALC-3 Budget'!$D$8),'CALC-3 Budget'!$D$8,'CALC-3 Budget'!$C$8))/1000000,"")</f>
        <v/>
      </c>
      <c r="L11" s="7" t="inlineStr">
        <is>
          <t>Prices in use</t>
        </is>
      </c>
      <c r="M11" s="33">
        <f>IF(AND(ISNUMBER('CALC-3 Budget'!D7),ISNUMBER('CALC-3 Budget'!D8)),"yours","INVENTED example prices")</f>
        <v/>
      </c>
    </row>
    <row r="12">
      <c r="A12" s="30" t="n"/>
      <c r="B12" s="30" t="n"/>
      <c r="C12" s="30" t="n"/>
      <c r="D12" s="30" t="n"/>
      <c r="E12" s="30" t="n"/>
      <c r="F12" s="30" t="n"/>
      <c r="G12" s="30" t="n"/>
      <c r="H12" s="30" t="n"/>
      <c r="I12" s="30" t="n"/>
      <c r="J12" s="31">
        <f>IF(AND(ISNUMBER(F12),ISNUMBER(G12)),(F12*IF(ISNUMBER('CALC-3 Budget'!$D$7),'CALC-3 Budget'!$D$7,'CALC-3 Budget'!$C$7)+G12*IF(ISNUMBER('CALC-3 Budget'!$D$8),'CALC-3 Budget'!$D$8,'CALC-3 Budget'!$C$8))/1000000,"")</f>
        <v/>
      </c>
    </row>
    <row r="13">
      <c r="A13" s="30" t="n"/>
      <c r="B13" s="30" t="n"/>
      <c r="C13" s="30" t="n"/>
      <c r="D13" s="30" t="n"/>
      <c r="E13" s="30" t="n"/>
      <c r="F13" s="30" t="n"/>
      <c r="G13" s="30" t="n"/>
      <c r="H13" s="30" t="n"/>
      <c r="I13" s="30" t="n"/>
      <c r="J13" s="31">
        <f>IF(AND(ISNUMBER(F13),ISNUMBER(G13)),(F13*IF(ISNUMBER('CALC-3 Budget'!$D$7),'CALC-3 Budget'!$D$7,'CALC-3 Budget'!$C$7)+G13*IF(ISNUMBER('CALC-3 Budget'!$D$8),'CALC-3 Budget'!$D$8,'CALC-3 Budget'!$C$8))/1000000,"")</f>
        <v/>
      </c>
      <c r="L13" s="3" t="inlineStr">
        <is>
          <t>Rows 4-6 are the example from Level 5 (EX-5.1). Delete them and paste your own loop-log.csv rows. Cost uses your CALC-3 prices when filled, otherwise the invented example prices.</t>
        </is>
      </c>
    </row>
    <row r="14">
      <c r="A14" s="30" t="n"/>
      <c r="B14" s="30" t="n"/>
      <c r="C14" s="30" t="n"/>
      <c r="D14" s="30" t="n"/>
      <c r="E14" s="30" t="n"/>
      <c r="F14" s="30" t="n"/>
      <c r="G14" s="30" t="n"/>
      <c r="H14" s="30" t="n"/>
      <c r="I14" s="30" t="n"/>
      <c r="J14" s="31">
        <f>IF(AND(ISNUMBER(F14),ISNUMBER(G14)),(F14*IF(ISNUMBER('CALC-3 Budget'!$D$7),'CALC-3 Budget'!$D$7,'CALC-3 Budget'!$C$7)+G14*IF(ISNUMBER('CALC-3 Budget'!$D$8),'CALC-3 Budget'!$D$8,'CALC-3 Budget'!$C$8))/1000000,"")</f>
        <v/>
      </c>
    </row>
    <row r="15">
      <c r="A15" s="30" t="n"/>
      <c r="B15" s="30" t="n"/>
      <c r="C15" s="30" t="n"/>
      <c r="D15" s="30" t="n"/>
      <c r="E15" s="30" t="n"/>
      <c r="F15" s="30" t="n"/>
      <c r="G15" s="30" t="n"/>
      <c r="H15" s="30" t="n"/>
      <c r="I15" s="30" t="n"/>
      <c r="J15" s="31">
        <f>IF(AND(ISNUMBER(F15),ISNUMBER(G15)),(F15*IF(ISNUMBER('CALC-3 Budget'!$D$7),'CALC-3 Budget'!$D$7,'CALC-3 Budget'!$C$7)+G15*IF(ISNUMBER('CALC-3 Budget'!$D$8),'CALC-3 Budget'!$D$8,'CALC-3 Budget'!$C$8))/1000000,"")</f>
        <v/>
      </c>
    </row>
    <row r="16">
      <c r="A16" s="30" t="n"/>
      <c r="B16" s="30" t="n"/>
      <c r="C16" s="30" t="n"/>
      <c r="D16" s="30" t="n"/>
      <c r="E16" s="30" t="n"/>
      <c r="F16" s="30" t="n"/>
      <c r="G16" s="30" t="n"/>
      <c r="H16" s="30" t="n"/>
      <c r="I16" s="30" t="n"/>
      <c r="J16" s="31">
        <f>IF(AND(ISNUMBER(F16),ISNUMBER(G16)),(F16*IF(ISNUMBER('CALC-3 Budget'!$D$7),'CALC-3 Budget'!$D$7,'CALC-3 Budget'!$C$7)+G16*IF(ISNUMBER('CALC-3 Budget'!$D$8),'CALC-3 Budget'!$D$8,'CALC-3 Budget'!$C$8))/1000000,"")</f>
        <v/>
      </c>
    </row>
    <row r="17">
      <c r="A17" s="30" t="n"/>
      <c r="B17" s="30" t="n"/>
      <c r="C17" s="30" t="n"/>
      <c r="D17" s="30" t="n"/>
      <c r="E17" s="30" t="n"/>
      <c r="F17" s="30" t="n"/>
      <c r="G17" s="30" t="n"/>
      <c r="H17" s="30" t="n"/>
      <c r="I17" s="30" t="n"/>
      <c r="J17" s="31">
        <f>IF(AND(ISNUMBER(F17),ISNUMBER(G17)),(F17*IF(ISNUMBER('CALC-3 Budget'!$D$7),'CALC-3 Budget'!$D$7,'CALC-3 Budget'!$C$7)+G17*IF(ISNUMBER('CALC-3 Budget'!$D$8),'CALC-3 Budget'!$D$8,'CALC-3 Budget'!$C$8))/1000000,"")</f>
        <v/>
      </c>
    </row>
    <row r="18">
      <c r="A18" s="30" t="n"/>
      <c r="B18" s="30" t="n"/>
      <c r="C18" s="30" t="n"/>
      <c r="D18" s="30" t="n"/>
      <c r="E18" s="30" t="n"/>
      <c r="F18" s="30" t="n"/>
      <c r="G18" s="30" t="n"/>
      <c r="H18" s="30" t="n"/>
      <c r="I18" s="30" t="n"/>
      <c r="J18" s="31">
        <f>IF(AND(ISNUMBER(F18),ISNUMBER(G18)),(F18*IF(ISNUMBER('CALC-3 Budget'!$D$7),'CALC-3 Budget'!$D$7,'CALC-3 Budget'!$C$7)+G18*IF(ISNUMBER('CALC-3 Budget'!$D$8),'CALC-3 Budget'!$D$8,'CALC-3 Budget'!$C$8))/1000000,"")</f>
        <v/>
      </c>
    </row>
    <row r="19">
      <c r="A19" s="30" t="n"/>
      <c r="B19" s="30" t="n"/>
      <c r="C19" s="30" t="n"/>
      <c r="D19" s="30" t="n"/>
      <c r="E19" s="30" t="n"/>
      <c r="F19" s="30" t="n"/>
      <c r="G19" s="30" t="n"/>
      <c r="H19" s="30" t="n"/>
      <c r="I19" s="30" t="n"/>
      <c r="J19" s="31">
        <f>IF(AND(ISNUMBER(F19),ISNUMBER(G19)),(F19*IF(ISNUMBER('CALC-3 Budget'!$D$7),'CALC-3 Budget'!$D$7,'CALC-3 Budget'!$C$7)+G19*IF(ISNUMBER('CALC-3 Budget'!$D$8),'CALC-3 Budget'!$D$8,'CALC-3 Budget'!$C$8))/1000000,"")</f>
        <v/>
      </c>
    </row>
    <row r="20">
      <c r="A20" s="30" t="n"/>
      <c r="B20" s="30" t="n"/>
      <c r="C20" s="30" t="n"/>
      <c r="D20" s="30" t="n"/>
      <c r="E20" s="30" t="n"/>
      <c r="F20" s="30" t="n"/>
      <c r="G20" s="30" t="n"/>
      <c r="H20" s="30" t="n"/>
      <c r="I20" s="30" t="n"/>
      <c r="J20" s="31">
        <f>IF(AND(ISNUMBER(F20),ISNUMBER(G20)),(F20*IF(ISNUMBER('CALC-3 Budget'!$D$7),'CALC-3 Budget'!$D$7,'CALC-3 Budget'!$C$7)+G20*IF(ISNUMBER('CALC-3 Budget'!$D$8),'CALC-3 Budget'!$D$8,'CALC-3 Budget'!$C$8))/1000000,"")</f>
        <v/>
      </c>
    </row>
    <row r="21">
      <c r="A21" s="30" t="n"/>
      <c r="B21" s="30" t="n"/>
      <c r="C21" s="30" t="n"/>
      <c r="D21" s="30" t="n"/>
      <c r="E21" s="30" t="n"/>
      <c r="F21" s="30" t="n"/>
      <c r="G21" s="30" t="n"/>
      <c r="H21" s="30" t="n"/>
      <c r="I21" s="30" t="n"/>
      <c r="J21" s="31">
        <f>IF(AND(ISNUMBER(F21),ISNUMBER(G21)),(F21*IF(ISNUMBER('CALC-3 Budget'!$D$7),'CALC-3 Budget'!$D$7,'CALC-3 Budget'!$C$7)+G21*IF(ISNUMBER('CALC-3 Budget'!$D$8),'CALC-3 Budget'!$D$8,'CALC-3 Budget'!$C$8))/1000000,"")</f>
        <v/>
      </c>
    </row>
    <row r="22">
      <c r="A22" s="30" t="n"/>
      <c r="B22" s="30" t="n"/>
      <c r="C22" s="30" t="n"/>
      <c r="D22" s="30" t="n"/>
      <c r="E22" s="30" t="n"/>
      <c r="F22" s="30" t="n"/>
      <c r="G22" s="30" t="n"/>
      <c r="H22" s="30" t="n"/>
      <c r="I22" s="30" t="n"/>
      <c r="J22" s="31">
        <f>IF(AND(ISNUMBER(F22),ISNUMBER(G22)),(F22*IF(ISNUMBER('CALC-3 Budget'!$D$7),'CALC-3 Budget'!$D$7,'CALC-3 Budget'!$C$7)+G22*IF(ISNUMBER('CALC-3 Budget'!$D$8),'CALC-3 Budget'!$D$8,'CALC-3 Budget'!$C$8))/1000000,"")</f>
        <v/>
      </c>
    </row>
    <row r="23">
      <c r="A23" s="30" t="n"/>
      <c r="B23" s="30" t="n"/>
      <c r="C23" s="30" t="n"/>
      <c r="D23" s="30" t="n"/>
      <c r="E23" s="30" t="n"/>
      <c r="F23" s="30" t="n"/>
      <c r="G23" s="30" t="n"/>
      <c r="H23" s="30" t="n"/>
      <c r="I23" s="30" t="n"/>
      <c r="J23" s="31">
        <f>IF(AND(ISNUMBER(F23),ISNUMBER(G23)),(F23*IF(ISNUMBER('CALC-3 Budget'!$D$7),'CALC-3 Budget'!$D$7,'CALC-3 Budget'!$C$7)+G23*IF(ISNUMBER('CALC-3 Budget'!$D$8),'CALC-3 Budget'!$D$8,'CALC-3 Budget'!$C$8))/1000000,"")</f>
        <v/>
      </c>
    </row>
    <row r="24">
      <c r="A24" s="30" t="n"/>
      <c r="B24" s="30" t="n"/>
      <c r="C24" s="30" t="n"/>
      <c r="D24" s="30" t="n"/>
      <c r="E24" s="30" t="n"/>
      <c r="F24" s="30" t="n"/>
      <c r="G24" s="30" t="n"/>
      <c r="H24" s="30" t="n"/>
      <c r="I24" s="30" t="n"/>
      <c r="J24" s="31">
        <f>IF(AND(ISNUMBER(F24),ISNUMBER(G24)),(F24*IF(ISNUMBER('CALC-3 Budget'!$D$7),'CALC-3 Budget'!$D$7,'CALC-3 Budget'!$C$7)+G24*IF(ISNUMBER('CALC-3 Budget'!$D$8),'CALC-3 Budget'!$D$8,'CALC-3 Budget'!$C$8))/1000000,"")</f>
        <v/>
      </c>
    </row>
    <row r="25">
      <c r="A25" s="30" t="n"/>
      <c r="B25" s="30" t="n"/>
      <c r="C25" s="30" t="n"/>
      <c r="D25" s="30" t="n"/>
      <c r="E25" s="30" t="n"/>
      <c r="F25" s="30" t="n"/>
      <c r="G25" s="30" t="n"/>
      <c r="H25" s="30" t="n"/>
      <c r="I25" s="30" t="n"/>
      <c r="J25" s="31">
        <f>IF(AND(ISNUMBER(F25),ISNUMBER(G25)),(F25*IF(ISNUMBER('CALC-3 Budget'!$D$7),'CALC-3 Budget'!$D$7,'CALC-3 Budget'!$C$7)+G25*IF(ISNUMBER('CALC-3 Budget'!$D$8),'CALC-3 Budget'!$D$8,'CALC-3 Budget'!$C$8))/1000000,"")</f>
        <v/>
      </c>
    </row>
    <row r="26">
      <c r="A26" s="30" t="n"/>
      <c r="B26" s="30" t="n"/>
      <c r="C26" s="30" t="n"/>
      <c r="D26" s="30" t="n"/>
      <c r="E26" s="30" t="n"/>
      <c r="F26" s="30" t="n"/>
      <c r="G26" s="30" t="n"/>
      <c r="H26" s="30" t="n"/>
      <c r="I26" s="30" t="n"/>
      <c r="J26" s="31">
        <f>IF(AND(ISNUMBER(F26),ISNUMBER(G26)),(F26*IF(ISNUMBER('CALC-3 Budget'!$D$7),'CALC-3 Budget'!$D$7,'CALC-3 Budget'!$C$7)+G26*IF(ISNUMBER('CALC-3 Budget'!$D$8),'CALC-3 Budget'!$D$8,'CALC-3 Budget'!$C$8))/1000000,"")</f>
        <v/>
      </c>
    </row>
    <row r="27">
      <c r="A27" s="30" t="n"/>
      <c r="B27" s="30" t="n"/>
      <c r="C27" s="30" t="n"/>
      <c r="D27" s="30" t="n"/>
      <c r="E27" s="30" t="n"/>
      <c r="F27" s="30" t="n"/>
      <c r="G27" s="30" t="n"/>
      <c r="H27" s="30" t="n"/>
      <c r="I27" s="30" t="n"/>
      <c r="J27" s="31">
        <f>IF(AND(ISNUMBER(F27),ISNUMBER(G27)),(F27*IF(ISNUMBER('CALC-3 Budget'!$D$7),'CALC-3 Budget'!$D$7,'CALC-3 Budget'!$C$7)+G27*IF(ISNUMBER('CALC-3 Budget'!$D$8),'CALC-3 Budget'!$D$8,'CALC-3 Budget'!$C$8))/1000000,"")</f>
        <v/>
      </c>
    </row>
    <row r="28">
      <c r="A28" s="30" t="n"/>
      <c r="B28" s="30" t="n"/>
      <c r="C28" s="30" t="n"/>
      <c r="D28" s="30" t="n"/>
      <c r="E28" s="30" t="n"/>
      <c r="F28" s="30" t="n"/>
      <c r="G28" s="30" t="n"/>
      <c r="H28" s="30" t="n"/>
      <c r="I28" s="30" t="n"/>
      <c r="J28" s="31">
        <f>IF(AND(ISNUMBER(F28),ISNUMBER(G28)),(F28*IF(ISNUMBER('CALC-3 Budget'!$D$7),'CALC-3 Budget'!$D$7,'CALC-3 Budget'!$C$7)+G28*IF(ISNUMBER('CALC-3 Budget'!$D$8),'CALC-3 Budget'!$D$8,'CALC-3 Budget'!$C$8))/1000000,"")</f>
        <v/>
      </c>
    </row>
    <row r="29">
      <c r="A29" s="30" t="n"/>
      <c r="B29" s="30" t="n"/>
      <c r="C29" s="30" t="n"/>
      <c r="D29" s="30" t="n"/>
      <c r="E29" s="30" t="n"/>
      <c r="F29" s="30" t="n"/>
      <c r="G29" s="30" t="n"/>
      <c r="H29" s="30" t="n"/>
      <c r="I29" s="30" t="n"/>
      <c r="J29" s="31">
        <f>IF(AND(ISNUMBER(F29),ISNUMBER(G29)),(F29*IF(ISNUMBER('CALC-3 Budget'!$D$7),'CALC-3 Budget'!$D$7,'CALC-3 Budget'!$C$7)+G29*IF(ISNUMBER('CALC-3 Budget'!$D$8),'CALC-3 Budget'!$D$8,'CALC-3 Budget'!$C$8))/1000000,"")</f>
        <v/>
      </c>
    </row>
    <row r="30">
      <c r="A30" s="30" t="n"/>
      <c r="B30" s="30" t="n"/>
      <c r="C30" s="30" t="n"/>
      <c r="D30" s="30" t="n"/>
      <c r="E30" s="30" t="n"/>
      <c r="F30" s="30" t="n"/>
      <c r="G30" s="30" t="n"/>
      <c r="H30" s="30" t="n"/>
      <c r="I30" s="30" t="n"/>
      <c r="J30" s="31">
        <f>IF(AND(ISNUMBER(F30),ISNUMBER(G30)),(F30*IF(ISNUMBER('CALC-3 Budget'!$D$7),'CALC-3 Budget'!$D$7,'CALC-3 Budget'!$C$7)+G30*IF(ISNUMBER('CALC-3 Budget'!$D$8),'CALC-3 Budget'!$D$8,'CALC-3 Budget'!$C$8))/1000000,"")</f>
        <v/>
      </c>
    </row>
    <row r="31">
      <c r="A31" s="30" t="n"/>
      <c r="B31" s="30" t="n"/>
      <c r="C31" s="30" t="n"/>
      <c r="D31" s="30" t="n"/>
      <c r="E31" s="30" t="n"/>
      <c r="F31" s="30" t="n"/>
      <c r="G31" s="30" t="n"/>
      <c r="H31" s="30" t="n"/>
      <c r="I31" s="30" t="n"/>
      <c r="J31" s="31">
        <f>IF(AND(ISNUMBER(F31),ISNUMBER(G31)),(F31*IF(ISNUMBER('CALC-3 Budget'!$D$7),'CALC-3 Budget'!$D$7,'CALC-3 Budget'!$C$7)+G31*IF(ISNUMBER('CALC-3 Budget'!$D$8),'CALC-3 Budget'!$D$8,'CALC-3 Budget'!$C$8))/1000000,"")</f>
        <v/>
      </c>
    </row>
    <row r="32">
      <c r="A32" s="30" t="n"/>
      <c r="B32" s="30" t="n"/>
      <c r="C32" s="30" t="n"/>
      <c r="D32" s="30" t="n"/>
      <c r="E32" s="30" t="n"/>
      <c r="F32" s="30" t="n"/>
      <c r="G32" s="30" t="n"/>
      <c r="H32" s="30" t="n"/>
      <c r="I32" s="30" t="n"/>
      <c r="J32" s="31">
        <f>IF(AND(ISNUMBER(F32),ISNUMBER(G32)),(F32*IF(ISNUMBER('CALC-3 Budget'!$D$7),'CALC-3 Budget'!$D$7,'CALC-3 Budget'!$C$7)+G32*IF(ISNUMBER('CALC-3 Budget'!$D$8),'CALC-3 Budget'!$D$8,'CALC-3 Budget'!$C$8))/1000000,"")</f>
        <v/>
      </c>
    </row>
    <row r="33">
      <c r="A33" s="30" t="n"/>
      <c r="B33" s="30" t="n"/>
      <c r="C33" s="30" t="n"/>
      <c r="D33" s="30" t="n"/>
      <c r="E33" s="30" t="n"/>
      <c r="F33" s="30" t="n"/>
      <c r="G33" s="30" t="n"/>
      <c r="H33" s="30" t="n"/>
      <c r="I33" s="30" t="n"/>
      <c r="J33" s="31">
        <f>IF(AND(ISNUMBER(F33),ISNUMBER(G33)),(F33*IF(ISNUMBER('CALC-3 Budget'!$D$7),'CALC-3 Budget'!$D$7,'CALC-3 Budget'!$C$7)+G33*IF(ISNUMBER('CALC-3 Budget'!$D$8),'CALC-3 Budget'!$D$8,'CALC-3 Budget'!$C$8))/1000000,"")</f>
        <v/>
      </c>
    </row>
    <row r="34">
      <c r="A34" s="30" t="n"/>
      <c r="B34" s="30" t="n"/>
      <c r="C34" s="30" t="n"/>
      <c r="D34" s="30" t="n"/>
      <c r="E34" s="30" t="n"/>
      <c r="F34" s="30" t="n"/>
      <c r="G34" s="30" t="n"/>
      <c r="H34" s="30" t="n"/>
      <c r="I34" s="30" t="n"/>
      <c r="J34" s="31">
        <f>IF(AND(ISNUMBER(F34),ISNUMBER(G34)),(F34*IF(ISNUMBER('CALC-3 Budget'!$D$7),'CALC-3 Budget'!$D$7,'CALC-3 Budget'!$C$7)+G34*IF(ISNUMBER('CALC-3 Budget'!$D$8),'CALC-3 Budget'!$D$8,'CALC-3 Budget'!$C$8))/1000000,"")</f>
        <v/>
      </c>
    </row>
    <row r="35">
      <c r="A35" s="30" t="n"/>
      <c r="B35" s="30" t="n"/>
      <c r="C35" s="30" t="n"/>
      <c r="D35" s="30" t="n"/>
      <c r="E35" s="30" t="n"/>
      <c r="F35" s="30" t="n"/>
      <c r="G35" s="30" t="n"/>
      <c r="H35" s="30" t="n"/>
      <c r="I35" s="30" t="n"/>
      <c r="J35" s="31">
        <f>IF(AND(ISNUMBER(F35),ISNUMBER(G35)),(F35*IF(ISNUMBER('CALC-3 Budget'!$D$7),'CALC-3 Budget'!$D$7,'CALC-3 Budget'!$C$7)+G35*IF(ISNUMBER('CALC-3 Budget'!$D$8),'CALC-3 Budget'!$D$8,'CALC-3 Budget'!$C$8))/1000000,"")</f>
        <v/>
      </c>
    </row>
    <row r="36">
      <c r="A36" s="30" t="n"/>
      <c r="B36" s="30" t="n"/>
      <c r="C36" s="30" t="n"/>
      <c r="D36" s="30" t="n"/>
      <c r="E36" s="30" t="n"/>
      <c r="F36" s="30" t="n"/>
      <c r="G36" s="30" t="n"/>
      <c r="H36" s="30" t="n"/>
      <c r="I36" s="30" t="n"/>
      <c r="J36" s="31">
        <f>IF(AND(ISNUMBER(F36),ISNUMBER(G36)),(F36*IF(ISNUMBER('CALC-3 Budget'!$D$7),'CALC-3 Budget'!$D$7,'CALC-3 Budget'!$C$7)+G36*IF(ISNUMBER('CALC-3 Budget'!$D$8),'CALC-3 Budget'!$D$8,'CALC-3 Budget'!$C$8))/1000000,"")</f>
        <v/>
      </c>
    </row>
    <row r="37">
      <c r="A37" s="30" t="n"/>
      <c r="B37" s="30" t="n"/>
      <c r="C37" s="30" t="n"/>
      <c r="D37" s="30" t="n"/>
      <c r="E37" s="30" t="n"/>
      <c r="F37" s="30" t="n"/>
      <c r="G37" s="30" t="n"/>
      <c r="H37" s="30" t="n"/>
      <c r="I37" s="30" t="n"/>
      <c r="J37" s="31">
        <f>IF(AND(ISNUMBER(F37),ISNUMBER(G37)),(F37*IF(ISNUMBER('CALC-3 Budget'!$D$7),'CALC-3 Budget'!$D$7,'CALC-3 Budget'!$C$7)+G37*IF(ISNUMBER('CALC-3 Budget'!$D$8),'CALC-3 Budget'!$D$8,'CALC-3 Budget'!$C$8))/1000000,"")</f>
        <v/>
      </c>
    </row>
    <row r="38">
      <c r="A38" s="30" t="n"/>
      <c r="B38" s="30" t="n"/>
      <c r="C38" s="30" t="n"/>
      <c r="D38" s="30" t="n"/>
      <c r="E38" s="30" t="n"/>
      <c r="F38" s="30" t="n"/>
      <c r="G38" s="30" t="n"/>
      <c r="H38" s="30" t="n"/>
      <c r="I38" s="30" t="n"/>
      <c r="J38" s="31">
        <f>IF(AND(ISNUMBER(F38),ISNUMBER(G38)),(F38*IF(ISNUMBER('CALC-3 Budget'!$D$7),'CALC-3 Budget'!$D$7,'CALC-3 Budget'!$C$7)+G38*IF(ISNUMBER('CALC-3 Budget'!$D$8),'CALC-3 Budget'!$D$8,'CALC-3 Budget'!$C$8))/1000000,"")</f>
        <v/>
      </c>
    </row>
    <row r="39">
      <c r="A39" s="30" t="n"/>
      <c r="B39" s="30" t="n"/>
      <c r="C39" s="30" t="n"/>
      <c r="D39" s="30" t="n"/>
      <c r="E39" s="30" t="n"/>
      <c r="F39" s="30" t="n"/>
      <c r="G39" s="30" t="n"/>
      <c r="H39" s="30" t="n"/>
      <c r="I39" s="30" t="n"/>
      <c r="J39" s="31">
        <f>IF(AND(ISNUMBER(F39),ISNUMBER(G39)),(F39*IF(ISNUMBER('CALC-3 Budget'!$D$7),'CALC-3 Budget'!$D$7,'CALC-3 Budget'!$C$7)+G39*IF(ISNUMBER('CALC-3 Budget'!$D$8),'CALC-3 Budget'!$D$8,'CALC-3 Budget'!$C$8))/1000000,"")</f>
        <v/>
      </c>
    </row>
    <row r="40">
      <c r="A40" s="30" t="n"/>
      <c r="B40" s="30" t="n"/>
      <c r="C40" s="30" t="n"/>
      <c r="D40" s="30" t="n"/>
      <c r="E40" s="30" t="n"/>
      <c r="F40" s="30" t="n"/>
      <c r="G40" s="30" t="n"/>
      <c r="H40" s="30" t="n"/>
      <c r="I40" s="30" t="n"/>
      <c r="J40" s="31">
        <f>IF(AND(ISNUMBER(F40),ISNUMBER(G40)),(F40*IF(ISNUMBER('CALC-3 Budget'!$D$7),'CALC-3 Budget'!$D$7,'CALC-3 Budget'!$C$7)+G40*IF(ISNUMBER('CALC-3 Budget'!$D$8),'CALC-3 Budget'!$D$8,'CALC-3 Budget'!$C$8))/1000000,"")</f>
        <v/>
      </c>
    </row>
    <row r="41">
      <c r="A41" s="30" t="n"/>
      <c r="B41" s="30" t="n"/>
      <c r="C41" s="30" t="n"/>
      <c r="D41" s="30" t="n"/>
      <c r="E41" s="30" t="n"/>
      <c r="F41" s="30" t="n"/>
      <c r="G41" s="30" t="n"/>
      <c r="H41" s="30" t="n"/>
      <c r="I41" s="30" t="n"/>
      <c r="J41" s="31">
        <f>IF(AND(ISNUMBER(F41),ISNUMBER(G41)),(F41*IF(ISNUMBER('CALC-3 Budget'!$D$7),'CALC-3 Budget'!$D$7,'CALC-3 Budget'!$C$7)+G41*IF(ISNUMBER('CALC-3 Budget'!$D$8),'CALC-3 Budget'!$D$8,'CALC-3 Budget'!$C$8))/1000000,"")</f>
        <v/>
      </c>
    </row>
    <row r="42">
      <c r="A42" s="30" t="n"/>
      <c r="B42" s="30" t="n"/>
      <c r="C42" s="30" t="n"/>
      <c r="D42" s="30" t="n"/>
      <c r="E42" s="30" t="n"/>
      <c r="F42" s="30" t="n"/>
      <c r="G42" s="30" t="n"/>
      <c r="H42" s="30" t="n"/>
      <c r="I42" s="30" t="n"/>
      <c r="J42" s="31">
        <f>IF(AND(ISNUMBER(F42),ISNUMBER(G42)),(F42*IF(ISNUMBER('CALC-3 Budget'!$D$7),'CALC-3 Budget'!$D$7,'CALC-3 Budget'!$C$7)+G42*IF(ISNUMBER('CALC-3 Budget'!$D$8),'CALC-3 Budget'!$D$8,'CALC-3 Budget'!$C$8))/1000000,"")</f>
        <v/>
      </c>
    </row>
    <row r="43">
      <c r="A43" s="30" t="n"/>
      <c r="B43" s="30" t="n"/>
      <c r="C43" s="30" t="n"/>
      <c r="D43" s="30" t="n"/>
      <c r="E43" s="30" t="n"/>
      <c r="F43" s="30" t="n"/>
      <c r="G43" s="30" t="n"/>
      <c r="H43" s="30" t="n"/>
      <c r="I43" s="30" t="n"/>
      <c r="J43" s="31">
        <f>IF(AND(ISNUMBER(F43),ISNUMBER(G43)),(F43*IF(ISNUMBER('CALC-3 Budget'!$D$7),'CALC-3 Budget'!$D$7,'CALC-3 Budget'!$C$7)+G43*IF(ISNUMBER('CALC-3 Budget'!$D$8),'CALC-3 Budget'!$D$8,'CALC-3 Budget'!$C$8))/1000000,"")</f>
        <v/>
      </c>
    </row>
    <row r="44">
      <c r="A44" s="30" t="n"/>
      <c r="B44" s="30" t="n"/>
      <c r="C44" s="30" t="n"/>
      <c r="D44" s="30" t="n"/>
      <c r="E44" s="30" t="n"/>
      <c r="F44" s="30" t="n"/>
      <c r="G44" s="30" t="n"/>
      <c r="H44" s="30" t="n"/>
      <c r="I44" s="30" t="n"/>
      <c r="J44" s="31">
        <f>IF(AND(ISNUMBER(F44),ISNUMBER(G44)),(F44*IF(ISNUMBER('CALC-3 Budget'!$D$7),'CALC-3 Budget'!$D$7,'CALC-3 Budget'!$C$7)+G44*IF(ISNUMBER('CALC-3 Budget'!$D$8),'CALC-3 Budget'!$D$8,'CALC-3 Budget'!$C$8))/1000000,"")</f>
        <v/>
      </c>
    </row>
    <row r="45">
      <c r="A45" s="30" t="n"/>
      <c r="B45" s="30" t="n"/>
      <c r="C45" s="30" t="n"/>
      <c r="D45" s="30" t="n"/>
      <c r="E45" s="30" t="n"/>
      <c r="F45" s="30" t="n"/>
      <c r="G45" s="30" t="n"/>
      <c r="H45" s="30" t="n"/>
      <c r="I45" s="30" t="n"/>
      <c r="J45" s="31">
        <f>IF(AND(ISNUMBER(F45),ISNUMBER(G45)),(F45*IF(ISNUMBER('CALC-3 Budget'!$D$7),'CALC-3 Budget'!$D$7,'CALC-3 Budget'!$C$7)+G45*IF(ISNUMBER('CALC-3 Budget'!$D$8),'CALC-3 Budget'!$D$8,'CALC-3 Budget'!$C$8))/1000000,"")</f>
        <v/>
      </c>
    </row>
    <row r="46">
      <c r="A46" s="30" t="n"/>
      <c r="B46" s="30" t="n"/>
      <c r="C46" s="30" t="n"/>
      <c r="D46" s="30" t="n"/>
      <c r="E46" s="30" t="n"/>
      <c r="F46" s="30" t="n"/>
      <c r="G46" s="30" t="n"/>
      <c r="H46" s="30" t="n"/>
      <c r="I46" s="30" t="n"/>
      <c r="J46" s="31">
        <f>IF(AND(ISNUMBER(F46),ISNUMBER(G46)),(F46*IF(ISNUMBER('CALC-3 Budget'!$D$7),'CALC-3 Budget'!$D$7,'CALC-3 Budget'!$C$7)+G46*IF(ISNUMBER('CALC-3 Budget'!$D$8),'CALC-3 Budget'!$D$8,'CALC-3 Budget'!$C$8))/1000000,"")</f>
        <v/>
      </c>
    </row>
    <row r="47">
      <c r="A47" s="30" t="n"/>
      <c r="B47" s="30" t="n"/>
      <c r="C47" s="30" t="n"/>
      <c r="D47" s="30" t="n"/>
      <c r="E47" s="30" t="n"/>
      <c r="F47" s="30" t="n"/>
      <c r="G47" s="30" t="n"/>
      <c r="H47" s="30" t="n"/>
      <c r="I47" s="30" t="n"/>
      <c r="J47" s="31">
        <f>IF(AND(ISNUMBER(F47),ISNUMBER(G47)),(F47*IF(ISNUMBER('CALC-3 Budget'!$D$7),'CALC-3 Budget'!$D$7,'CALC-3 Budget'!$C$7)+G47*IF(ISNUMBER('CALC-3 Budget'!$D$8),'CALC-3 Budget'!$D$8,'CALC-3 Budget'!$C$8))/1000000,"")</f>
        <v/>
      </c>
    </row>
    <row r="48">
      <c r="A48" s="30" t="n"/>
      <c r="B48" s="30" t="n"/>
      <c r="C48" s="30" t="n"/>
      <c r="D48" s="30" t="n"/>
      <c r="E48" s="30" t="n"/>
      <c r="F48" s="30" t="n"/>
      <c r="G48" s="30" t="n"/>
      <c r="H48" s="30" t="n"/>
      <c r="I48" s="30" t="n"/>
      <c r="J48" s="31">
        <f>IF(AND(ISNUMBER(F48),ISNUMBER(G48)),(F48*IF(ISNUMBER('CALC-3 Budget'!$D$7),'CALC-3 Budget'!$D$7,'CALC-3 Budget'!$C$7)+G48*IF(ISNUMBER('CALC-3 Budget'!$D$8),'CALC-3 Budget'!$D$8,'CALC-3 Budget'!$C$8))/1000000,"")</f>
        <v/>
      </c>
    </row>
    <row r="49">
      <c r="A49" s="30" t="n"/>
      <c r="B49" s="30" t="n"/>
      <c r="C49" s="30" t="n"/>
      <c r="D49" s="30" t="n"/>
      <c r="E49" s="30" t="n"/>
      <c r="F49" s="30" t="n"/>
      <c r="G49" s="30" t="n"/>
      <c r="H49" s="30" t="n"/>
      <c r="I49" s="30" t="n"/>
      <c r="J49" s="31">
        <f>IF(AND(ISNUMBER(F49),ISNUMBER(G49)),(F49*IF(ISNUMBER('CALC-3 Budget'!$D$7),'CALC-3 Budget'!$D$7,'CALC-3 Budget'!$C$7)+G49*IF(ISNUMBER('CALC-3 Budget'!$D$8),'CALC-3 Budget'!$D$8,'CALC-3 Budget'!$C$8))/1000000,"")</f>
        <v/>
      </c>
    </row>
    <row r="50">
      <c r="A50" s="30" t="n"/>
      <c r="B50" s="30" t="n"/>
      <c r="C50" s="30" t="n"/>
      <c r="D50" s="30" t="n"/>
      <c r="E50" s="30" t="n"/>
      <c r="F50" s="30" t="n"/>
      <c r="G50" s="30" t="n"/>
      <c r="H50" s="30" t="n"/>
      <c r="I50" s="30" t="n"/>
      <c r="J50" s="31">
        <f>IF(AND(ISNUMBER(F50),ISNUMBER(G50)),(F50*IF(ISNUMBER('CALC-3 Budget'!$D$7),'CALC-3 Budget'!$D$7,'CALC-3 Budget'!$C$7)+G50*IF(ISNUMBER('CALC-3 Budget'!$D$8),'CALC-3 Budget'!$D$8,'CALC-3 Budget'!$C$8))/1000000,"")</f>
        <v/>
      </c>
    </row>
    <row r="51">
      <c r="A51" s="30" t="n"/>
      <c r="B51" s="30" t="n"/>
      <c r="C51" s="30" t="n"/>
      <c r="D51" s="30" t="n"/>
      <c r="E51" s="30" t="n"/>
      <c r="F51" s="30" t="n"/>
      <c r="G51" s="30" t="n"/>
      <c r="H51" s="30" t="n"/>
      <c r="I51" s="30" t="n"/>
      <c r="J51" s="31">
        <f>IF(AND(ISNUMBER(F51),ISNUMBER(G51)),(F51*IF(ISNUMBER('CALC-3 Budget'!$D$7),'CALC-3 Budget'!$D$7,'CALC-3 Budget'!$C$7)+G51*IF(ISNUMBER('CALC-3 Budget'!$D$8),'CALC-3 Budget'!$D$8,'CALC-3 Budget'!$C$8))/1000000,"")</f>
        <v/>
      </c>
    </row>
    <row r="52">
      <c r="A52" s="30" t="n"/>
      <c r="B52" s="30" t="n"/>
      <c r="C52" s="30" t="n"/>
      <c r="D52" s="30" t="n"/>
      <c r="E52" s="30" t="n"/>
      <c r="F52" s="30" t="n"/>
      <c r="G52" s="30" t="n"/>
      <c r="H52" s="30" t="n"/>
      <c r="I52" s="30" t="n"/>
      <c r="J52" s="31">
        <f>IF(AND(ISNUMBER(F52),ISNUMBER(G52)),(F52*IF(ISNUMBER('CALC-3 Budget'!$D$7),'CALC-3 Budget'!$D$7,'CALC-3 Budget'!$C$7)+G52*IF(ISNUMBER('CALC-3 Budget'!$D$8),'CALC-3 Budget'!$D$8,'CALC-3 Budget'!$C$8))/1000000,"")</f>
        <v/>
      </c>
    </row>
    <row r="53">
      <c r="A53" s="30" t="n"/>
      <c r="B53" s="30" t="n"/>
      <c r="C53" s="30" t="n"/>
      <c r="D53" s="30" t="n"/>
      <c r="E53" s="30" t="n"/>
      <c r="F53" s="30" t="n"/>
      <c r="G53" s="30" t="n"/>
      <c r="H53" s="30" t="n"/>
      <c r="I53" s="30" t="n"/>
      <c r="J53" s="31">
        <f>IF(AND(ISNUMBER(F53),ISNUMBER(G53)),(F53*IF(ISNUMBER('CALC-3 Budget'!$D$7),'CALC-3 Budget'!$D$7,'CALC-3 Budget'!$C$7)+G53*IF(ISNUMBER('CALC-3 Budget'!$D$8),'CALC-3 Budget'!$D$8,'CALC-3 Budget'!$C$8))/1000000,"")</f>
        <v/>
      </c>
    </row>
    <row r="54">
      <c r="A54" s="30" t="n"/>
      <c r="B54" s="30" t="n"/>
      <c r="C54" s="30" t="n"/>
      <c r="D54" s="30" t="n"/>
      <c r="E54" s="30" t="n"/>
      <c r="F54" s="30" t="n"/>
      <c r="G54" s="30" t="n"/>
      <c r="H54" s="30" t="n"/>
      <c r="I54" s="30" t="n"/>
      <c r="J54" s="31">
        <f>IF(AND(ISNUMBER(F54),ISNUMBER(G54)),(F54*IF(ISNUMBER('CALC-3 Budget'!$D$7),'CALC-3 Budget'!$D$7,'CALC-3 Budget'!$C$7)+G54*IF(ISNUMBER('CALC-3 Budget'!$D$8),'CALC-3 Budget'!$D$8,'CALC-3 Budget'!$C$8))/1000000,"")</f>
        <v/>
      </c>
    </row>
    <row r="55">
      <c r="A55" s="30" t="n"/>
      <c r="B55" s="30" t="n"/>
      <c r="C55" s="30" t="n"/>
      <c r="D55" s="30" t="n"/>
      <c r="E55" s="30" t="n"/>
      <c r="F55" s="30" t="n"/>
      <c r="G55" s="30" t="n"/>
      <c r="H55" s="30" t="n"/>
      <c r="I55" s="30" t="n"/>
      <c r="J55" s="31">
        <f>IF(AND(ISNUMBER(F55),ISNUMBER(G55)),(F55*IF(ISNUMBER('CALC-3 Budget'!$D$7),'CALC-3 Budget'!$D$7,'CALC-3 Budget'!$C$7)+G55*IF(ISNUMBER('CALC-3 Budget'!$D$8),'CALC-3 Budget'!$D$8,'CALC-3 Budget'!$C$8))/1000000,"")</f>
        <v/>
      </c>
    </row>
    <row r="56">
      <c r="A56" s="30" t="n"/>
      <c r="B56" s="30" t="n"/>
      <c r="C56" s="30" t="n"/>
      <c r="D56" s="30" t="n"/>
      <c r="E56" s="30" t="n"/>
      <c r="F56" s="30" t="n"/>
      <c r="G56" s="30" t="n"/>
      <c r="H56" s="30" t="n"/>
      <c r="I56" s="30" t="n"/>
      <c r="J56" s="31">
        <f>IF(AND(ISNUMBER(F56),ISNUMBER(G56)),(F56*IF(ISNUMBER('CALC-3 Budget'!$D$7),'CALC-3 Budget'!$D$7,'CALC-3 Budget'!$C$7)+G56*IF(ISNUMBER('CALC-3 Budget'!$D$8),'CALC-3 Budget'!$D$8,'CALC-3 Budget'!$C$8))/1000000,"")</f>
        <v/>
      </c>
    </row>
    <row r="57">
      <c r="A57" s="30" t="n"/>
      <c r="B57" s="30" t="n"/>
      <c r="C57" s="30" t="n"/>
      <c r="D57" s="30" t="n"/>
      <c r="E57" s="30" t="n"/>
      <c r="F57" s="30" t="n"/>
      <c r="G57" s="30" t="n"/>
      <c r="H57" s="30" t="n"/>
      <c r="I57" s="30" t="n"/>
      <c r="J57" s="31">
        <f>IF(AND(ISNUMBER(F57),ISNUMBER(G57)),(F57*IF(ISNUMBER('CALC-3 Budget'!$D$7),'CALC-3 Budget'!$D$7,'CALC-3 Budget'!$C$7)+G57*IF(ISNUMBER('CALC-3 Budget'!$D$8),'CALC-3 Budget'!$D$8,'CALC-3 Budget'!$C$8))/1000000,"")</f>
        <v/>
      </c>
    </row>
    <row r="58">
      <c r="A58" s="30" t="n"/>
      <c r="B58" s="30" t="n"/>
      <c r="C58" s="30" t="n"/>
      <c r="D58" s="30" t="n"/>
      <c r="E58" s="30" t="n"/>
      <c r="F58" s="30" t="n"/>
      <c r="G58" s="30" t="n"/>
      <c r="H58" s="30" t="n"/>
      <c r="I58" s="30" t="n"/>
      <c r="J58" s="31">
        <f>IF(AND(ISNUMBER(F58),ISNUMBER(G58)),(F58*IF(ISNUMBER('CALC-3 Budget'!$D$7),'CALC-3 Budget'!$D$7,'CALC-3 Budget'!$C$7)+G58*IF(ISNUMBER('CALC-3 Budget'!$D$8),'CALC-3 Budget'!$D$8,'CALC-3 Budget'!$C$8))/1000000,"")</f>
        <v/>
      </c>
    </row>
    <row r="59">
      <c r="A59" s="30" t="n"/>
      <c r="B59" s="30" t="n"/>
      <c r="C59" s="30" t="n"/>
      <c r="D59" s="30" t="n"/>
      <c r="E59" s="30" t="n"/>
      <c r="F59" s="30" t="n"/>
      <c r="G59" s="30" t="n"/>
      <c r="H59" s="30" t="n"/>
      <c r="I59" s="30" t="n"/>
      <c r="J59" s="31">
        <f>IF(AND(ISNUMBER(F59),ISNUMBER(G59)),(F59*IF(ISNUMBER('CALC-3 Budget'!$D$7),'CALC-3 Budget'!$D$7,'CALC-3 Budget'!$C$7)+G59*IF(ISNUMBER('CALC-3 Budget'!$D$8),'CALC-3 Budget'!$D$8,'CALC-3 Budget'!$C$8))/1000000,"")</f>
        <v/>
      </c>
    </row>
    <row r="60">
      <c r="A60" s="30" t="n"/>
      <c r="B60" s="30" t="n"/>
      <c r="C60" s="30" t="n"/>
      <c r="D60" s="30" t="n"/>
      <c r="E60" s="30" t="n"/>
      <c r="F60" s="30" t="n"/>
      <c r="G60" s="30" t="n"/>
      <c r="H60" s="30" t="n"/>
      <c r="I60" s="30" t="n"/>
      <c r="J60" s="31">
        <f>IF(AND(ISNUMBER(F60),ISNUMBER(G60)),(F60*IF(ISNUMBER('CALC-3 Budget'!$D$7),'CALC-3 Budget'!$D$7,'CALC-3 Budget'!$C$7)+G60*IF(ISNUMBER('CALC-3 Budget'!$D$8),'CALC-3 Budget'!$D$8,'CALC-3 Budget'!$C$8))/1000000,"")</f>
        <v/>
      </c>
    </row>
    <row r="61">
      <c r="A61" s="30" t="n"/>
      <c r="B61" s="30" t="n"/>
      <c r="C61" s="30" t="n"/>
      <c r="D61" s="30" t="n"/>
      <c r="E61" s="30" t="n"/>
      <c r="F61" s="30" t="n"/>
      <c r="G61" s="30" t="n"/>
      <c r="H61" s="30" t="n"/>
      <c r="I61" s="30" t="n"/>
      <c r="J61" s="31">
        <f>IF(AND(ISNUMBER(F61),ISNUMBER(G61)),(F61*IF(ISNUMBER('CALC-3 Budget'!$D$7),'CALC-3 Budget'!$D$7,'CALC-3 Budget'!$C$7)+G61*IF(ISNUMBER('CALC-3 Budget'!$D$8),'CALC-3 Budget'!$D$8,'CALC-3 Budget'!$C$8))/1000000,"")</f>
        <v/>
      </c>
    </row>
    <row r="62">
      <c r="A62" s="30" t="n"/>
      <c r="B62" s="30" t="n"/>
      <c r="C62" s="30" t="n"/>
      <c r="D62" s="30" t="n"/>
      <c r="E62" s="30" t="n"/>
      <c r="F62" s="30" t="n"/>
      <c r="G62" s="30" t="n"/>
      <c r="H62" s="30" t="n"/>
      <c r="I62" s="30" t="n"/>
      <c r="J62" s="31">
        <f>IF(AND(ISNUMBER(F62),ISNUMBER(G62)),(F62*IF(ISNUMBER('CALC-3 Budget'!$D$7),'CALC-3 Budget'!$D$7,'CALC-3 Budget'!$C$7)+G62*IF(ISNUMBER('CALC-3 Budget'!$D$8),'CALC-3 Budget'!$D$8,'CALC-3 Budget'!$C$8))/1000000,"")</f>
        <v/>
      </c>
    </row>
    <row r="63">
      <c r="A63" s="30" t="n"/>
      <c r="B63" s="30" t="n"/>
      <c r="C63" s="30" t="n"/>
      <c r="D63" s="30" t="n"/>
      <c r="E63" s="30" t="n"/>
      <c r="F63" s="30" t="n"/>
      <c r="G63" s="30" t="n"/>
      <c r="H63" s="30" t="n"/>
      <c r="I63" s="30" t="n"/>
      <c r="J63" s="31">
        <f>IF(AND(ISNUMBER(F63),ISNUMBER(G63)),(F63*IF(ISNUMBER('CALC-3 Budget'!$D$7),'CALC-3 Budget'!$D$7,'CALC-3 Budget'!$C$7)+G63*IF(ISNUMBER('CALC-3 Budget'!$D$8),'CALC-3 Budget'!$D$8,'CALC-3 Budget'!$C$8))/1000000,"")</f>
        <v/>
      </c>
    </row>
    <row r="64">
      <c r="A64" s="30" t="n"/>
      <c r="B64" s="30" t="n"/>
      <c r="C64" s="30" t="n"/>
      <c r="D64" s="30" t="n"/>
      <c r="E64" s="30" t="n"/>
      <c r="F64" s="30" t="n"/>
      <c r="G64" s="30" t="n"/>
      <c r="H64" s="30" t="n"/>
      <c r="I64" s="30" t="n"/>
      <c r="J64" s="31">
        <f>IF(AND(ISNUMBER(F64),ISNUMBER(G64)),(F64*IF(ISNUMBER('CALC-3 Budget'!$D$7),'CALC-3 Budget'!$D$7,'CALC-3 Budget'!$C$7)+G64*IF(ISNUMBER('CALC-3 Budget'!$D$8),'CALC-3 Budget'!$D$8,'CALC-3 Budget'!$C$8))/1000000,"")</f>
        <v/>
      </c>
    </row>
    <row r="65">
      <c r="A65" s="30" t="n"/>
      <c r="B65" s="30" t="n"/>
      <c r="C65" s="30" t="n"/>
      <c r="D65" s="30" t="n"/>
      <c r="E65" s="30" t="n"/>
      <c r="F65" s="30" t="n"/>
      <c r="G65" s="30" t="n"/>
      <c r="H65" s="30" t="n"/>
      <c r="I65" s="30" t="n"/>
      <c r="J65" s="31">
        <f>IF(AND(ISNUMBER(F65),ISNUMBER(G65)),(F65*IF(ISNUMBER('CALC-3 Budget'!$D$7),'CALC-3 Budget'!$D$7,'CALC-3 Budget'!$C$7)+G65*IF(ISNUMBER('CALC-3 Budget'!$D$8),'CALC-3 Budget'!$D$8,'CALC-3 Budget'!$C$8))/1000000,"")</f>
        <v/>
      </c>
    </row>
    <row r="66">
      <c r="A66" s="30" t="n"/>
      <c r="B66" s="30" t="n"/>
      <c r="C66" s="30" t="n"/>
      <c r="D66" s="30" t="n"/>
      <c r="E66" s="30" t="n"/>
      <c r="F66" s="30" t="n"/>
      <c r="G66" s="30" t="n"/>
      <c r="H66" s="30" t="n"/>
      <c r="I66" s="30" t="n"/>
      <c r="J66" s="31">
        <f>IF(AND(ISNUMBER(F66),ISNUMBER(G66)),(F66*IF(ISNUMBER('CALC-3 Budget'!$D$7),'CALC-3 Budget'!$D$7,'CALC-3 Budget'!$C$7)+G66*IF(ISNUMBER('CALC-3 Budget'!$D$8),'CALC-3 Budget'!$D$8,'CALC-3 Budget'!$C$8))/1000000,"")</f>
        <v/>
      </c>
    </row>
    <row r="67">
      <c r="A67" s="30" t="n"/>
      <c r="B67" s="30" t="n"/>
      <c r="C67" s="30" t="n"/>
      <c r="D67" s="30" t="n"/>
      <c r="E67" s="30" t="n"/>
      <c r="F67" s="30" t="n"/>
      <c r="G67" s="30" t="n"/>
      <c r="H67" s="30" t="n"/>
      <c r="I67" s="30" t="n"/>
      <c r="J67" s="31">
        <f>IF(AND(ISNUMBER(F67),ISNUMBER(G67)),(F67*IF(ISNUMBER('CALC-3 Budget'!$D$7),'CALC-3 Budget'!$D$7,'CALC-3 Budget'!$C$7)+G67*IF(ISNUMBER('CALC-3 Budget'!$D$8),'CALC-3 Budget'!$D$8,'CALC-3 Budget'!$C$8))/1000000,"")</f>
        <v/>
      </c>
    </row>
    <row r="68">
      <c r="A68" s="30" t="n"/>
      <c r="B68" s="30" t="n"/>
      <c r="C68" s="30" t="n"/>
      <c r="D68" s="30" t="n"/>
      <c r="E68" s="30" t="n"/>
      <c r="F68" s="30" t="n"/>
      <c r="G68" s="30" t="n"/>
      <c r="H68" s="30" t="n"/>
      <c r="I68" s="30" t="n"/>
      <c r="J68" s="31">
        <f>IF(AND(ISNUMBER(F68),ISNUMBER(G68)),(F68*IF(ISNUMBER('CALC-3 Budget'!$D$7),'CALC-3 Budget'!$D$7,'CALC-3 Budget'!$C$7)+G68*IF(ISNUMBER('CALC-3 Budget'!$D$8),'CALC-3 Budget'!$D$8,'CALC-3 Budget'!$C$8))/1000000,"")</f>
        <v/>
      </c>
    </row>
    <row r="69">
      <c r="A69" s="30" t="n"/>
      <c r="B69" s="30" t="n"/>
      <c r="C69" s="30" t="n"/>
      <c r="D69" s="30" t="n"/>
      <c r="E69" s="30" t="n"/>
      <c r="F69" s="30" t="n"/>
      <c r="G69" s="30" t="n"/>
      <c r="H69" s="30" t="n"/>
      <c r="I69" s="30" t="n"/>
      <c r="J69" s="31">
        <f>IF(AND(ISNUMBER(F69),ISNUMBER(G69)),(F69*IF(ISNUMBER('CALC-3 Budget'!$D$7),'CALC-3 Budget'!$D$7,'CALC-3 Budget'!$C$7)+G69*IF(ISNUMBER('CALC-3 Budget'!$D$8),'CALC-3 Budget'!$D$8,'CALC-3 Budget'!$C$8))/1000000,"")</f>
        <v/>
      </c>
    </row>
    <row r="70">
      <c r="A70" s="30" t="n"/>
      <c r="B70" s="30" t="n"/>
      <c r="C70" s="30" t="n"/>
      <c r="D70" s="30" t="n"/>
      <c r="E70" s="30" t="n"/>
      <c r="F70" s="30" t="n"/>
      <c r="G70" s="30" t="n"/>
      <c r="H70" s="30" t="n"/>
      <c r="I70" s="30" t="n"/>
      <c r="J70" s="31">
        <f>IF(AND(ISNUMBER(F70),ISNUMBER(G70)),(F70*IF(ISNUMBER('CALC-3 Budget'!$D$7),'CALC-3 Budget'!$D$7,'CALC-3 Budget'!$C$7)+G70*IF(ISNUMBER('CALC-3 Budget'!$D$8),'CALC-3 Budget'!$D$8,'CALC-3 Budget'!$C$8))/1000000,"")</f>
        <v/>
      </c>
    </row>
    <row r="71">
      <c r="A71" s="30" t="n"/>
      <c r="B71" s="30" t="n"/>
      <c r="C71" s="30" t="n"/>
      <c r="D71" s="30" t="n"/>
      <c r="E71" s="30" t="n"/>
      <c r="F71" s="30" t="n"/>
      <c r="G71" s="30" t="n"/>
      <c r="H71" s="30" t="n"/>
      <c r="I71" s="30" t="n"/>
      <c r="J71" s="31">
        <f>IF(AND(ISNUMBER(F71),ISNUMBER(G71)),(F71*IF(ISNUMBER('CALC-3 Budget'!$D$7),'CALC-3 Budget'!$D$7,'CALC-3 Budget'!$C$7)+G71*IF(ISNUMBER('CALC-3 Budget'!$D$8),'CALC-3 Budget'!$D$8,'CALC-3 Budget'!$C$8))/1000000,"")</f>
        <v/>
      </c>
    </row>
    <row r="72">
      <c r="A72" s="30" t="n"/>
      <c r="B72" s="30" t="n"/>
      <c r="C72" s="30" t="n"/>
      <c r="D72" s="30" t="n"/>
      <c r="E72" s="30" t="n"/>
      <c r="F72" s="30" t="n"/>
      <c r="G72" s="30" t="n"/>
      <c r="H72" s="30" t="n"/>
      <c r="I72" s="30" t="n"/>
      <c r="J72" s="31">
        <f>IF(AND(ISNUMBER(F72),ISNUMBER(G72)),(F72*IF(ISNUMBER('CALC-3 Budget'!$D$7),'CALC-3 Budget'!$D$7,'CALC-3 Budget'!$C$7)+G72*IF(ISNUMBER('CALC-3 Budget'!$D$8),'CALC-3 Budget'!$D$8,'CALC-3 Budget'!$C$8))/1000000,"")</f>
        <v/>
      </c>
    </row>
    <row r="73">
      <c r="A73" s="30" t="n"/>
      <c r="B73" s="30" t="n"/>
      <c r="C73" s="30" t="n"/>
      <c r="D73" s="30" t="n"/>
      <c r="E73" s="30" t="n"/>
      <c r="F73" s="30" t="n"/>
      <c r="G73" s="30" t="n"/>
      <c r="H73" s="30" t="n"/>
      <c r="I73" s="30" t="n"/>
      <c r="J73" s="31">
        <f>IF(AND(ISNUMBER(F73),ISNUMBER(G73)),(F73*IF(ISNUMBER('CALC-3 Budget'!$D$7),'CALC-3 Budget'!$D$7,'CALC-3 Budget'!$C$7)+G73*IF(ISNUMBER('CALC-3 Budget'!$D$8),'CALC-3 Budget'!$D$8,'CALC-3 Budget'!$C$8))/1000000,"")</f>
        <v/>
      </c>
    </row>
    <row r="74">
      <c r="A74" s="30" t="n"/>
      <c r="B74" s="30" t="n"/>
      <c r="C74" s="30" t="n"/>
      <c r="D74" s="30" t="n"/>
      <c r="E74" s="30" t="n"/>
      <c r="F74" s="30" t="n"/>
      <c r="G74" s="30" t="n"/>
      <c r="H74" s="30" t="n"/>
      <c r="I74" s="30" t="n"/>
      <c r="J74" s="31">
        <f>IF(AND(ISNUMBER(F74),ISNUMBER(G74)),(F74*IF(ISNUMBER('CALC-3 Budget'!$D$7),'CALC-3 Budget'!$D$7,'CALC-3 Budget'!$C$7)+G74*IF(ISNUMBER('CALC-3 Budget'!$D$8),'CALC-3 Budget'!$D$8,'CALC-3 Budget'!$C$8))/1000000,"")</f>
        <v/>
      </c>
    </row>
    <row r="75">
      <c r="A75" s="30" t="n"/>
      <c r="B75" s="30" t="n"/>
      <c r="C75" s="30" t="n"/>
      <c r="D75" s="30" t="n"/>
      <c r="E75" s="30" t="n"/>
      <c r="F75" s="30" t="n"/>
      <c r="G75" s="30" t="n"/>
      <c r="H75" s="30" t="n"/>
      <c r="I75" s="30" t="n"/>
      <c r="J75" s="31">
        <f>IF(AND(ISNUMBER(F75),ISNUMBER(G75)),(F75*IF(ISNUMBER('CALC-3 Budget'!$D$7),'CALC-3 Budget'!$D$7,'CALC-3 Budget'!$C$7)+G75*IF(ISNUMBER('CALC-3 Budget'!$D$8),'CALC-3 Budget'!$D$8,'CALC-3 Budget'!$C$8))/1000000,"")</f>
        <v/>
      </c>
    </row>
    <row r="76">
      <c r="A76" s="30" t="n"/>
      <c r="B76" s="30" t="n"/>
      <c r="C76" s="30" t="n"/>
      <c r="D76" s="30" t="n"/>
      <c r="E76" s="30" t="n"/>
      <c r="F76" s="30" t="n"/>
      <c r="G76" s="30" t="n"/>
      <c r="H76" s="30" t="n"/>
      <c r="I76" s="30" t="n"/>
      <c r="J76" s="31">
        <f>IF(AND(ISNUMBER(F76),ISNUMBER(G76)),(F76*IF(ISNUMBER('CALC-3 Budget'!$D$7),'CALC-3 Budget'!$D$7,'CALC-3 Budget'!$C$7)+G76*IF(ISNUMBER('CALC-3 Budget'!$D$8),'CALC-3 Budget'!$D$8,'CALC-3 Budget'!$C$8))/1000000,"")</f>
        <v/>
      </c>
    </row>
    <row r="77">
      <c r="A77" s="30" t="n"/>
      <c r="B77" s="30" t="n"/>
      <c r="C77" s="30" t="n"/>
      <c r="D77" s="30" t="n"/>
      <c r="E77" s="30" t="n"/>
      <c r="F77" s="30" t="n"/>
      <c r="G77" s="30" t="n"/>
      <c r="H77" s="30" t="n"/>
      <c r="I77" s="30" t="n"/>
      <c r="J77" s="31">
        <f>IF(AND(ISNUMBER(F77),ISNUMBER(G77)),(F77*IF(ISNUMBER('CALC-3 Budget'!$D$7),'CALC-3 Budget'!$D$7,'CALC-3 Budget'!$C$7)+G77*IF(ISNUMBER('CALC-3 Budget'!$D$8),'CALC-3 Budget'!$D$8,'CALC-3 Budget'!$C$8))/1000000,"")</f>
        <v/>
      </c>
    </row>
    <row r="78">
      <c r="A78" s="30" t="n"/>
      <c r="B78" s="30" t="n"/>
      <c r="C78" s="30" t="n"/>
      <c r="D78" s="30" t="n"/>
      <c r="E78" s="30" t="n"/>
      <c r="F78" s="30" t="n"/>
      <c r="G78" s="30" t="n"/>
      <c r="H78" s="30" t="n"/>
      <c r="I78" s="30" t="n"/>
      <c r="J78" s="31">
        <f>IF(AND(ISNUMBER(F78),ISNUMBER(G78)),(F78*IF(ISNUMBER('CALC-3 Budget'!$D$7),'CALC-3 Budget'!$D$7,'CALC-3 Budget'!$C$7)+G78*IF(ISNUMBER('CALC-3 Budget'!$D$8),'CALC-3 Budget'!$D$8,'CALC-3 Budget'!$C$8))/1000000,"")</f>
        <v/>
      </c>
    </row>
    <row r="79">
      <c r="A79" s="30" t="n"/>
      <c r="B79" s="30" t="n"/>
      <c r="C79" s="30" t="n"/>
      <c r="D79" s="30" t="n"/>
      <c r="E79" s="30" t="n"/>
      <c r="F79" s="30" t="n"/>
      <c r="G79" s="30" t="n"/>
      <c r="H79" s="30" t="n"/>
      <c r="I79" s="30" t="n"/>
      <c r="J79" s="31">
        <f>IF(AND(ISNUMBER(F79),ISNUMBER(G79)),(F79*IF(ISNUMBER('CALC-3 Budget'!$D$7),'CALC-3 Budget'!$D$7,'CALC-3 Budget'!$C$7)+G79*IF(ISNUMBER('CALC-3 Budget'!$D$8),'CALC-3 Budget'!$D$8,'CALC-3 Budget'!$C$8))/1000000,"")</f>
        <v/>
      </c>
    </row>
    <row r="80">
      <c r="A80" s="30" t="n"/>
      <c r="B80" s="30" t="n"/>
      <c r="C80" s="30" t="n"/>
      <c r="D80" s="30" t="n"/>
      <c r="E80" s="30" t="n"/>
      <c r="F80" s="30" t="n"/>
      <c r="G80" s="30" t="n"/>
      <c r="H80" s="30" t="n"/>
      <c r="I80" s="30" t="n"/>
      <c r="J80" s="31">
        <f>IF(AND(ISNUMBER(F80),ISNUMBER(G80)),(F80*IF(ISNUMBER('CALC-3 Budget'!$D$7),'CALC-3 Budget'!$D$7,'CALC-3 Budget'!$C$7)+G80*IF(ISNUMBER('CALC-3 Budget'!$D$8),'CALC-3 Budget'!$D$8,'CALC-3 Budget'!$C$8))/1000000,"")</f>
        <v/>
      </c>
    </row>
    <row r="81">
      <c r="A81" s="30" t="n"/>
      <c r="B81" s="30" t="n"/>
      <c r="C81" s="30" t="n"/>
      <c r="D81" s="30" t="n"/>
      <c r="E81" s="30" t="n"/>
      <c r="F81" s="30" t="n"/>
      <c r="G81" s="30" t="n"/>
      <c r="H81" s="30" t="n"/>
      <c r="I81" s="30" t="n"/>
      <c r="J81" s="31">
        <f>IF(AND(ISNUMBER(F81),ISNUMBER(G81)),(F81*IF(ISNUMBER('CALC-3 Budget'!$D$7),'CALC-3 Budget'!$D$7,'CALC-3 Budget'!$C$7)+G81*IF(ISNUMBER('CALC-3 Budget'!$D$8),'CALC-3 Budget'!$D$8,'CALC-3 Budget'!$C$8))/1000000,"")</f>
        <v/>
      </c>
    </row>
    <row r="82">
      <c r="A82" s="30" t="n"/>
      <c r="B82" s="30" t="n"/>
      <c r="C82" s="30" t="n"/>
      <c r="D82" s="30" t="n"/>
      <c r="E82" s="30" t="n"/>
      <c r="F82" s="30" t="n"/>
      <c r="G82" s="30" t="n"/>
      <c r="H82" s="30" t="n"/>
      <c r="I82" s="30" t="n"/>
      <c r="J82" s="31">
        <f>IF(AND(ISNUMBER(F82),ISNUMBER(G82)),(F82*IF(ISNUMBER('CALC-3 Budget'!$D$7),'CALC-3 Budget'!$D$7,'CALC-3 Budget'!$C$7)+G82*IF(ISNUMBER('CALC-3 Budget'!$D$8),'CALC-3 Budget'!$D$8,'CALC-3 Budget'!$C$8))/1000000,"")</f>
        <v/>
      </c>
    </row>
    <row r="83">
      <c r="A83" s="30" t="n"/>
      <c r="B83" s="30" t="n"/>
      <c r="C83" s="30" t="n"/>
      <c r="D83" s="30" t="n"/>
      <c r="E83" s="30" t="n"/>
      <c r="F83" s="30" t="n"/>
      <c r="G83" s="30" t="n"/>
      <c r="H83" s="30" t="n"/>
      <c r="I83" s="30" t="n"/>
      <c r="J83" s="31">
        <f>IF(AND(ISNUMBER(F83),ISNUMBER(G83)),(F83*IF(ISNUMBER('CALC-3 Budget'!$D$7),'CALC-3 Budget'!$D$7,'CALC-3 Budget'!$C$7)+G83*IF(ISNUMBER('CALC-3 Budget'!$D$8),'CALC-3 Budget'!$D$8,'CALC-3 Budget'!$C$8))/1000000,"")</f>
        <v/>
      </c>
    </row>
    <row r="84">
      <c r="A84" s="30" t="n"/>
      <c r="B84" s="30" t="n"/>
      <c r="C84" s="30" t="n"/>
      <c r="D84" s="30" t="n"/>
      <c r="E84" s="30" t="n"/>
      <c r="F84" s="30" t="n"/>
      <c r="G84" s="30" t="n"/>
      <c r="H84" s="30" t="n"/>
      <c r="I84" s="30" t="n"/>
      <c r="J84" s="31">
        <f>IF(AND(ISNUMBER(F84),ISNUMBER(G84)),(F84*IF(ISNUMBER('CALC-3 Budget'!$D$7),'CALC-3 Budget'!$D$7,'CALC-3 Budget'!$C$7)+G84*IF(ISNUMBER('CALC-3 Budget'!$D$8),'CALC-3 Budget'!$D$8,'CALC-3 Budget'!$C$8))/1000000,"")</f>
        <v/>
      </c>
    </row>
    <row r="85">
      <c r="A85" s="30" t="n"/>
      <c r="B85" s="30" t="n"/>
      <c r="C85" s="30" t="n"/>
      <c r="D85" s="30" t="n"/>
      <c r="E85" s="30" t="n"/>
      <c r="F85" s="30" t="n"/>
      <c r="G85" s="30" t="n"/>
      <c r="H85" s="30" t="n"/>
      <c r="I85" s="30" t="n"/>
      <c r="J85" s="31">
        <f>IF(AND(ISNUMBER(F85),ISNUMBER(G85)),(F85*IF(ISNUMBER('CALC-3 Budget'!$D$7),'CALC-3 Budget'!$D$7,'CALC-3 Budget'!$C$7)+G85*IF(ISNUMBER('CALC-3 Budget'!$D$8),'CALC-3 Budget'!$D$8,'CALC-3 Budget'!$C$8))/1000000,"")</f>
        <v/>
      </c>
    </row>
    <row r="86">
      <c r="A86" s="30" t="n"/>
      <c r="B86" s="30" t="n"/>
      <c r="C86" s="30" t="n"/>
      <c r="D86" s="30" t="n"/>
      <c r="E86" s="30" t="n"/>
      <c r="F86" s="30" t="n"/>
      <c r="G86" s="30" t="n"/>
      <c r="H86" s="30" t="n"/>
      <c r="I86" s="30" t="n"/>
      <c r="J86" s="31">
        <f>IF(AND(ISNUMBER(F86),ISNUMBER(G86)),(F86*IF(ISNUMBER('CALC-3 Budget'!$D$7),'CALC-3 Budget'!$D$7,'CALC-3 Budget'!$C$7)+G86*IF(ISNUMBER('CALC-3 Budget'!$D$8),'CALC-3 Budget'!$D$8,'CALC-3 Budget'!$C$8))/1000000,"")</f>
        <v/>
      </c>
    </row>
    <row r="87">
      <c r="A87" s="30" t="n"/>
      <c r="B87" s="30" t="n"/>
      <c r="C87" s="30" t="n"/>
      <c r="D87" s="30" t="n"/>
      <c r="E87" s="30" t="n"/>
      <c r="F87" s="30" t="n"/>
      <c r="G87" s="30" t="n"/>
      <c r="H87" s="30" t="n"/>
      <c r="I87" s="30" t="n"/>
      <c r="J87" s="31">
        <f>IF(AND(ISNUMBER(F87),ISNUMBER(G87)),(F87*IF(ISNUMBER('CALC-3 Budget'!$D$7),'CALC-3 Budget'!$D$7,'CALC-3 Budget'!$C$7)+G87*IF(ISNUMBER('CALC-3 Budget'!$D$8),'CALC-3 Budget'!$D$8,'CALC-3 Budget'!$C$8))/1000000,"")</f>
        <v/>
      </c>
    </row>
    <row r="88">
      <c r="A88" s="30" t="n"/>
      <c r="B88" s="30" t="n"/>
      <c r="C88" s="30" t="n"/>
      <c r="D88" s="30" t="n"/>
      <c r="E88" s="30" t="n"/>
      <c r="F88" s="30" t="n"/>
      <c r="G88" s="30" t="n"/>
      <c r="H88" s="30" t="n"/>
      <c r="I88" s="30" t="n"/>
      <c r="J88" s="31">
        <f>IF(AND(ISNUMBER(F88),ISNUMBER(G88)),(F88*IF(ISNUMBER('CALC-3 Budget'!$D$7),'CALC-3 Budget'!$D$7,'CALC-3 Budget'!$C$7)+G88*IF(ISNUMBER('CALC-3 Budget'!$D$8),'CALC-3 Budget'!$D$8,'CALC-3 Budget'!$C$8))/1000000,"")</f>
        <v/>
      </c>
    </row>
    <row r="89">
      <c r="A89" s="30" t="n"/>
      <c r="B89" s="30" t="n"/>
      <c r="C89" s="30" t="n"/>
      <c r="D89" s="30" t="n"/>
      <c r="E89" s="30" t="n"/>
      <c r="F89" s="30" t="n"/>
      <c r="G89" s="30" t="n"/>
      <c r="H89" s="30" t="n"/>
      <c r="I89" s="30" t="n"/>
      <c r="J89" s="31">
        <f>IF(AND(ISNUMBER(F89),ISNUMBER(G89)),(F89*IF(ISNUMBER('CALC-3 Budget'!$D$7),'CALC-3 Budget'!$D$7,'CALC-3 Budget'!$C$7)+G89*IF(ISNUMBER('CALC-3 Budget'!$D$8),'CALC-3 Budget'!$D$8,'CALC-3 Budget'!$C$8))/1000000,"")</f>
        <v/>
      </c>
    </row>
    <row r="90">
      <c r="A90" s="30" t="n"/>
      <c r="B90" s="30" t="n"/>
      <c r="C90" s="30" t="n"/>
      <c r="D90" s="30" t="n"/>
      <c r="E90" s="30" t="n"/>
      <c r="F90" s="30" t="n"/>
      <c r="G90" s="30" t="n"/>
      <c r="H90" s="30" t="n"/>
      <c r="I90" s="30" t="n"/>
      <c r="J90" s="31">
        <f>IF(AND(ISNUMBER(F90),ISNUMBER(G90)),(F90*IF(ISNUMBER('CALC-3 Budget'!$D$7),'CALC-3 Budget'!$D$7,'CALC-3 Budget'!$C$7)+G90*IF(ISNUMBER('CALC-3 Budget'!$D$8),'CALC-3 Budget'!$D$8,'CALC-3 Budget'!$C$8))/1000000,"")</f>
        <v/>
      </c>
    </row>
    <row r="91">
      <c r="A91" s="30" t="n"/>
      <c r="B91" s="30" t="n"/>
      <c r="C91" s="30" t="n"/>
      <c r="D91" s="30" t="n"/>
      <c r="E91" s="30" t="n"/>
      <c r="F91" s="30" t="n"/>
      <c r="G91" s="30" t="n"/>
      <c r="H91" s="30" t="n"/>
      <c r="I91" s="30" t="n"/>
      <c r="J91" s="31">
        <f>IF(AND(ISNUMBER(F91),ISNUMBER(G91)),(F91*IF(ISNUMBER('CALC-3 Budget'!$D$7),'CALC-3 Budget'!$D$7,'CALC-3 Budget'!$C$7)+G91*IF(ISNUMBER('CALC-3 Budget'!$D$8),'CALC-3 Budget'!$D$8,'CALC-3 Budget'!$C$8))/1000000,"")</f>
        <v/>
      </c>
    </row>
    <row r="92">
      <c r="A92" s="30" t="n"/>
      <c r="B92" s="30" t="n"/>
      <c r="C92" s="30" t="n"/>
      <c r="D92" s="30" t="n"/>
      <c r="E92" s="30" t="n"/>
      <c r="F92" s="30" t="n"/>
      <c r="G92" s="30" t="n"/>
      <c r="H92" s="30" t="n"/>
      <c r="I92" s="30" t="n"/>
      <c r="J92" s="31">
        <f>IF(AND(ISNUMBER(F92),ISNUMBER(G92)),(F92*IF(ISNUMBER('CALC-3 Budget'!$D$7),'CALC-3 Budget'!$D$7,'CALC-3 Budget'!$C$7)+G92*IF(ISNUMBER('CALC-3 Budget'!$D$8),'CALC-3 Budget'!$D$8,'CALC-3 Budget'!$C$8))/1000000,"")</f>
        <v/>
      </c>
    </row>
    <row r="93">
      <c r="A93" s="30" t="n"/>
      <c r="B93" s="30" t="n"/>
      <c r="C93" s="30" t="n"/>
      <c r="D93" s="30" t="n"/>
      <c r="E93" s="30" t="n"/>
      <c r="F93" s="30" t="n"/>
      <c r="G93" s="30" t="n"/>
      <c r="H93" s="30" t="n"/>
      <c r="I93" s="30" t="n"/>
      <c r="J93" s="31">
        <f>IF(AND(ISNUMBER(F93),ISNUMBER(G93)),(F93*IF(ISNUMBER('CALC-3 Budget'!$D$7),'CALC-3 Budget'!$D$7,'CALC-3 Budget'!$C$7)+G93*IF(ISNUMBER('CALC-3 Budget'!$D$8),'CALC-3 Budget'!$D$8,'CALC-3 Budget'!$C$8))/1000000,"")</f>
        <v/>
      </c>
    </row>
    <row r="94">
      <c r="A94" s="30" t="n"/>
      <c r="B94" s="30" t="n"/>
      <c r="C94" s="30" t="n"/>
      <c r="D94" s="30" t="n"/>
      <c r="E94" s="30" t="n"/>
      <c r="F94" s="30" t="n"/>
      <c r="G94" s="30" t="n"/>
      <c r="H94" s="30" t="n"/>
      <c r="I94" s="30" t="n"/>
      <c r="J94" s="31">
        <f>IF(AND(ISNUMBER(F94),ISNUMBER(G94)),(F94*IF(ISNUMBER('CALC-3 Budget'!$D$7),'CALC-3 Budget'!$D$7,'CALC-3 Budget'!$C$7)+G94*IF(ISNUMBER('CALC-3 Budget'!$D$8),'CALC-3 Budget'!$D$8,'CALC-3 Budget'!$C$8))/1000000,"")</f>
        <v/>
      </c>
    </row>
    <row r="95">
      <c r="A95" s="30" t="n"/>
      <c r="B95" s="30" t="n"/>
      <c r="C95" s="30" t="n"/>
      <c r="D95" s="30" t="n"/>
      <c r="E95" s="30" t="n"/>
      <c r="F95" s="30" t="n"/>
      <c r="G95" s="30" t="n"/>
      <c r="H95" s="30" t="n"/>
      <c r="I95" s="30" t="n"/>
      <c r="J95" s="31">
        <f>IF(AND(ISNUMBER(F95),ISNUMBER(G95)),(F95*IF(ISNUMBER('CALC-3 Budget'!$D$7),'CALC-3 Budget'!$D$7,'CALC-3 Budget'!$C$7)+G95*IF(ISNUMBER('CALC-3 Budget'!$D$8),'CALC-3 Budget'!$D$8,'CALC-3 Budget'!$C$8))/1000000,"")</f>
        <v/>
      </c>
    </row>
    <row r="96">
      <c r="A96" s="30" t="n"/>
      <c r="B96" s="30" t="n"/>
      <c r="C96" s="30" t="n"/>
      <c r="D96" s="30" t="n"/>
      <c r="E96" s="30" t="n"/>
      <c r="F96" s="30" t="n"/>
      <c r="G96" s="30" t="n"/>
      <c r="H96" s="30" t="n"/>
      <c r="I96" s="30" t="n"/>
      <c r="J96" s="31">
        <f>IF(AND(ISNUMBER(F96),ISNUMBER(G96)),(F96*IF(ISNUMBER('CALC-3 Budget'!$D$7),'CALC-3 Budget'!$D$7,'CALC-3 Budget'!$C$7)+G96*IF(ISNUMBER('CALC-3 Budget'!$D$8),'CALC-3 Budget'!$D$8,'CALC-3 Budget'!$C$8))/1000000,"")</f>
        <v/>
      </c>
    </row>
    <row r="97">
      <c r="A97" s="30" t="n"/>
      <c r="B97" s="30" t="n"/>
      <c r="C97" s="30" t="n"/>
      <c r="D97" s="30" t="n"/>
      <c r="E97" s="30" t="n"/>
      <c r="F97" s="30" t="n"/>
      <c r="G97" s="30" t="n"/>
      <c r="H97" s="30" t="n"/>
      <c r="I97" s="30" t="n"/>
      <c r="J97" s="31">
        <f>IF(AND(ISNUMBER(F97),ISNUMBER(G97)),(F97*IF(ISNUMBER('CALC-3 Budget'!$D$7),'CALC-3 Budget'!$D$7,'CALC-3 Budget'!$C$7)+G97*IF(ISNUMBER('CALC-3 Budget'!$D$8),'CALC-3 Budget'!$D$8,'CALC-3 Budget'!$C$8))/1000000,"")</f>
        <v/>
      </c>
    </row>
    <row r="98">
      <c r="A98" s="30" t="n"/>
      <c r="B98" s="30" t="n"/>
      <c r="C98" s="30" t="n"/>
      <c r="D98" s="30" t="n"/>
      <c r="E98" s="30" t="n"/>
      <c r="F98" s="30" t="n"/>
      <c r="G98" s="30" t="n"/>
      <c r="H98" s="30" t="n"/>
      <c r="I98" s="30" t="n"/>
      <c r="J98" s="31">
        <f>IF(AND(ISNUMBER(F98),ISNUMBER(G98)),(F98*IF(ISNUMBER('CALC-3 Budget'!$D$7),'CALC-3 Budget'!$D$7,'CALC-3 Budget'!$C$7)+G98*IF(ISNUMBER('CALC-3 Budget'!$D$8),'CALC-3 Budget'!$D$8,'CALC-3 Budget'!$C$8))/1000000,"")</f>
        <v/>
      </c>
    </row>
    <row r="99">
      <c r="A99" s="30" t="n"/>
      <c r="B99" s="30" t="n"/>
      <c r="C99" s="30" t="n"/>
      <c r="D99" s="30" t="n"/>
      <c r="E99" s="30" t="n"/>
      <c r="F99" s="30" t="n"/>
      <c r="G99" s="30" t="n"/>
      <c r="H99" s="30" t="n"/>
      <c r="I99" s="30" t="n"/>
      <c r="J99" s="31">
        <f>IF(AND(ISNUMBER(F99),ISNUMBER(G99)),(F99*IF(ISNUMBER('CALC-3 Budget'!$D$7),'CALC-3 Budget'!$D$7,'CALC-3 Budget'!$C$7)+G99*IF(ISNUMBER('CALC-3 Budget'!$D$8),'CALC-3 Budget'!$D$8,'CALC-3 Budget'!$C$8))/1000000,"")</f>
        <v/>
      </c>
    </row>
    <row r="100">
      <c r="A100" s="30" t="n"/>
      <c r="B100" s="30" t="n"/>
      <c r="C100" s="30" t="n"/>
      <c r="D100" s="30" t="n"/>
      <c r="E100" s="30" t="n"/>
      <c r="F100" s="30" t="n"/>
      <c r="G100" s="30" t="n"/>
      <c r="H100" s="30" t="n"/>
      <c r="I100" s="30" t="n"/>
      <c r="J100" s="31">
        <f>IF(AND(ISNUMBER(F100),ISNUMBER(G100)),(F100*IF(ISNUMBER('CALC-3 Budget'!$D$7),'CALC-3 Budget'!$D$7,'CALC-3 Budget'!$C$7)+G100*IF(ISNUMBER('CALC-3 Budget'!$D$8),'CALC-3 Budget'!$D$8,'CALC-3 Budget'!$C$8))/1000000,"")</f>
        <v/>
      </c>
    </row>
    <row r="101">
      <c r="A101" s="30" t="n"/>
      <c r="B101" s="30" t="n"/>
      <c r="C101" s="30" t="n"/>
      <c r="D101" s="30" t="n"/>
      <c r="E101" s="30" t="n"/>
      <c r="F101" s="30" t="n"/>
      <c r="G101" s="30" t="n"/>
      <c r="H101" s="30" t="n"/>
      <c r="I101" s="30" t="n"/>
      <c r="J101" s="31">
        <f>IF(AND(ISNUMBER(F101),ISNUMBER(G101)),(F101*IF(ISNUMBER('CALC-3 Budget'!$D$7),'CALC-3 Budget'!$D$7,'CALC-3 Budget'!$C$7)+G101*IF(ISNUMBER('CALC-3 Budget'!$D$8),'CALC-3 Budget'!$D$8,'CALC-3 Budget'!$C$8))/1000000,"")</f>
        <v/>
      </c>
    </row>
    <row r="102">
      <c r="A102" s="30" t="n"/>
      <c r="B102" s="30" t="n"/>
      <c r="C102" s="30" t="n"/>
      <c r="D102" s="30" t="n"/>
      <c r="E102" s="30" t="n"/>
      <c r="F102" s="30" t="n"/>
      <c r="G102" s="30" t="n"/>
      <c r="H102" s="30" t="n"/>
      <c r="I102" s="30" t="n"/>
      <c r="J102" s="31">
        <f>IF(AND(ISNUMBER(F102),ISNUMBER(G102)),(F102*IF(ISNUMBER('CALC-3 Budget'!$D$7),'CALC-3 Budget'!$D$7,'CALC-3 Budget'!$C$7)+G102*IF(ISNUMBER('CALC-3 Budget'!$D$8),'CALC-3 Budget'!$D$8,'CALC-3 Budget'!$C$8))/1000000,"")</f>
        <v/>
      </c>
    </row>
    <row r="103">
      <c r="A103" s="30" t="n"/>
      <c r="B103" s="30" t="n"/>
      <c r="C103" s="30" t="n"/>
      <c r="D103" s="30" t="n"/>
      <c r="E103" s="30" t="n"/>
      <c r="F103" s="30" t="n"/>
      <c r="G103" s="30" t="n"/>
      <c r="H103" s="30" t="n"/>
      <c r="I103" s="30" t="n"/>
      <c r="J103" s="31">
        <f>IF(AND(ISNUMBER(F103),ISNUMBER(G103)),(F103*IF(ISNUMBER('CALC-3 Budget'!$D$7),'CALC-3 Budget'!$D$7,'CALC-3 Budget'!$C$7)+G103*IF(ISNUMBER('CALC-3 Budget'!$D$8),'CALC-3 Budget'!$D$8,'CALC-3 Budget'!$C$8))/1000000,"")</f>
        <v/>
      </c>
    </row>
    <row r="104">
      <c r="A104" s="30" t="n"/>
      <c r="B104" s="30" t="n"/>
      <c r="C104" s="30" t="n"/>
      <c r="D104" s="30" t="n"/>
      <c r="E104" s="30" t="n"/>
      <c r="F104" s="30" t="n"/>
      <c r="G104" s="30" t="n"/>
      <c r="H104" s="30" t="n"/>
      <c r="I104" s="30" t="n"/>
      <c r="J104" s="31">
        <f>IF(AND(ISNUMBER(F104),ISNUMBER(G104)),(F104*IF(ISNUMBER('CALC-3 Budget'!$D$7),'CALC-3 Budget'!$D$7,'CALC-3 Budget'!$C$7)+G104*IF(ISNUMBER('CALC-3 Budget'!$D$8),'CALC-3 Budget'!$D$8,'CALC-3 Budget'!$C$8))/1000000,"")</f>
        <v/>
      </c>
    </row>
    <row r="105">
      <c r="A105" s="30" t="n"/>
      <c r="B105" s="30" t="n"/>
      <c r="C105" s="30" t="n"/>
      <c r="D105" s="30" t="n"/>
      <c r="E105" s="30" t="n"/>
      <c r="F105" s="30" t="n"/>
      <c r="G105" s="30" t="n"/>
      <c r="H105" s="30" t="n"/>
      <c r="I105" s="30" t="n"/>
      <c r="J105" s="31">
        <f>IF(AND(ISNUMBER(F105),ISNUMBER(G105)),(F105*IF(ISNUMBER('CALC-3 Budget'!$D$7),'CALC-3 Budget'!$D$7,'CALC-3 Budget'!$C$7)+G105*IF(ISNUMBER('CALC-3 Budget'!$D$8),'CALC-3 Budget'!$D$8,'CALC-3 Budget'!$C$8))/1000000,"")</f>
        <v/>
      </c>
    </row>
    <row r="106">
      <c r="A106" s="30" t="n"/>
      <c r="B106" s="30" t="n"/>
      <c r="C106" s="30" t="n"/>
      <c r="D106" s="30" t="n"/>
      <c r="E106" s="30" t="n"/>
      <c r="F106" s="30" t="n"/>
      <c r="G106" s="30" t="n"/>
      <c r="H106" s="30" t="n"/>
      <c r="I106" s="30" t="n"/>
      <c r="J106" s="31">
        <f>IF(AND(ISNUMBER(F106),ISNUMBER(G106)),(F106*IF(ISNUMBER('CALC-3 Budget'!$D$7),'CALC-3 Budget'!$D$7,'CALC-3 Budget'!$C$7)+G106*IF(ISNUMBER('CALC-3 Budget'!$D$8),'CALC-3 Budget'!$D$8,'CALC-3 Budget'!$C$8))/1000000,"")</f>
        <v/>
      </c>
    </row>
    <row r="107">
      <c r="A107" s="30" t="n"/>
      <c r="B107" s="30" t="n"/>
      <c r="C107" s="30" t="n"/>
      <c r="D107" s="30" t="n"/>
      <c r="E107" s="30" t="n"/>
      <c r="F107" s="30" t="n"/>
      <c r="G107" s="30" t="n"/>
      <c r="H107" s="30" t="n"/>
      <c r="I107" s="30" t="n"/>
      <c r="J107" s="31">
        <f>IF(AND(ISNUMBER(F107),ISNUMBER(G107)),(F107*IF(ISNUMBER('CALC-3 Budget'!$D$7),'CALC-3 Budget'!$D$7,'CALC-3 Budget'!$C$7)+G107*IF(ISNUMBER('CALC-3 Budget'!$D$8),'CALC-3 Budget'!$D$8,'CALC-3 Budget'!$C$8))/1000000,"")</f>
        <v/>
      </c>
    </row>
    <row r="108">
      <c r="A108" s="30" t="n"/>
      <c r="B108" s="30" t="n"/>
      <c r="C108" s="30" t="n"/>
      <c r="D108" s="30" t="n"/>
      <c r="E108" s="30" t="n"/>
      <c r="F108" s="30" t="n"/>
      <c r="G108" s="30" t="n"/>
      <c r="H108" s="30" t="n"/>
      <c r="I108" s="30" t="n"/>
      <c r="J108" s="31">
        <f>IF(AND(ISNUMBER(F108),ISNUMBER(G108)),(F108*IF(ISNUMBER('CALC-3 Budget'!$D$7),'CALC-3 Budget'!$D$7,'CALC-3 Budget'!$C$7)+G108*IF(ISNUMBER('CALC-3 Budget'!$D$8),'CALC-3 Budget'!$D$8,'CALC-3 Budget'!$C$8))/1000000,"")</f>
        <v/>
      </c>
    </row>
    <row r="109">
      <c r="A109" s="30" t="n"/>
      <c r="B109" s="30" t="n"/>
      <c r="C109" s="30" t="n"/>
      <c r="D109" s="30" t="n"/>
      <c r="E109" s="30" t="n"/>
      <c r="F109" s="30" t="n"/>
      <c r="G109" s="30" t="n"/>
      <c r="H109" s="30" t="n"/>
      <c r="I109" s="30" t="n"/>
      <c r="J109" s="31">
        <f>IF(AND(ISNUMBER(F109),ISNUMBER(G109)),(F109*IF(ISNUMBER('CALC-3 Budget'!$D$7),'CALC-3 Budget'!$D$7,'CALC-3 Budget'!$C$7)+G109*IF(ISNUMBER('CALC-3 Budget'!$D$8),'CALC-3 Budget'!$D$8,'CALC-3 Budget'!$C$8))/1000000,"")</f>
        <v/>
      </c>
    </row>
    <row r="110">
      <c r="A110" s="30" t="n"/>
      <c r="B110" s="30" t="n"/>
      <c r="C110" s="30" t="n"/>
      <c r="D110" s="30" t="n"/>
      <c r="E110" s="30" t="n"/>
      <c r="F110" s="30" t="n"/>
      <c r="G110" s="30" t="n"/>
      <c r="H110" s="30" t="n"/>
      <c r="I110" s="30" t="n"/>
      <c r="J110" s="31">
        <f>IF(AND(ISNUMBER(F110),ISNUMBER(G110)),(F110*IF(ISNUMBER('CALC-3 Budget'!$D$7),'CALC-3 Budget'!$D$7,'CALC-3 Budget'!$C$7)+G110*IF(ISNUMBER('CALC-3 Budget'!$D$8),'CALC-3 Budget'!$D$8,'CALC-3 Budget'!$C$8))/1000000,"")</f>
        <v/>
      </c>
    </row>
    <row r="111">
      <c r="A111" s="30" t="n"/>
      <c r="B111" s="30" t="n"/>
      <c r="C111" s="30" t="n"/>
      <c r="D111" s="30" t="n"/>
      <c r="E111" s="30" t="n"/>
      <c r="F111" s="30" t="n"/>
      <c r="G111" s="30" t="n"/>
      <c r="H111" s="30" t="n"/>
      <c r="I111" s="30" t="n"/>
      <c r="J111" s="31">
        <f>IF(AND(ISNUMBER(F111),ISNUMBER(G111)),(F111*IF(ISNUMBER('CALC-3 Budget'!$D$7),'CALC-3 Budget'!$D$7,'CALC-3 Budget'!$C$7)+G111*IF(ISNUMBER('CALC-3 Budget'!$D$8),'CALC-3 Budget'!$D$8,'CALC-3 Budget'!$C$8))/1000000,"")</f>
        <v/>
      </c>
    </row>
    <row r="112">
      <c r="A112" s="30" t="n"/>
      <c r="B112" s="30" t="n"/>
      <c r="C112" s="30" t="n"/>
      <c r="D112" s="30" t="n"/>
      <c r="E112" s="30" t="n"/>
      <c r="F112" s="30" t="n"/>
      <c r="G112" s="30" t="n"/>
      <c r="H112" s="30" t="n"/>
      <c r="I112" s="30" t="n"/>
      <c r="J112" s="31">
        <f>IF(AND(ISNUMBER(F112),ISNUMBER(G112)),(F112*IF(ISNUMBER('CALC-3 Budget'!$D$7),'CALC-3 Budget'!$D$7,'CALC-3 Budget'!$C$7)+G112*IF(ISNUMBER('CALC-3 Budget'!$D$8),'CALC-3 Budget'!$D$8,'CALC-3 Budget'!$C$8))/1000000,"")</f>
        <v/>
      </c>
    </row>
    <row r="113">
      <c r="A113" s="30" t="n"/>
      <c r="B113" s="30" t="n"/>
      <c r="C113" s="30" t="n"/>
      <c r="D113" s="30" t="n"/>
      <c r="E113" s="30" t="n"/>
      <c r="F113" s="30" t="n"/>
      <c r="G113" s="30" t="n"/>
      <c r="H113" s="30" t="n"/>
      <c r="I113" s="30" t="n"/>
      <c r="J113" s="31">
        <f>IF(AND(ISNUMBER(F113),ISNUMBER(G113)),(F113*IF(ISNUMBER('CALC-3 Budget'!$D$7),'CALC-3 Budget'!$D$7,'CALC-3 Budget'!$C$7)+G113*IF(ISNUMBER('CALC-3 Budget'!$D$8),'CALC-3 Budget'!$D$8,'CALC-3 Budget'!$C$8))/1000000,"")</f>
        <v/>
      </c>
    </row>
    <row r="114">
      <c r="A114" s="30" t="n"/>
      <c r="B114" s="30" t="n"/>
      <c r="C114" s="30" t="n"/>
      <c r="D114" s="30" t="n"/>
      <c r="E114" s="30" t="n"/>
      <c r="F114" s="30" t="n"/>
      <c r="G114" s="30" t="n"/>
      <c r="H114" s="30" t="n"/>
      <c r="I114" s="30" t="n"/>
      <c r="J114" s="31">
        <f>IF(AND(ISNUMBER(F114),ISNUMBER(G114)),(F114*IF(ISNUMBER('CALC-3 Budget'!$D$7),'CALC-3 Budget'!$D$7,'CALC-3 Budget'!$C$7)+G114*IF(ISNUMBER('CALC-3 Budget'!$D$8),'CALC-3 Budget'!$D$8,'CALC-3 Budget'!$C$8))/1000000,"")</f>
        <v/>
      </c>
    </row>
    <row r="115">
      <c r="A115" s="30" t="n"/>
      <c r="B115" s="30" t="n"/>
      <c r="C115" s="30" t="n"/>
      <c r="D115" s="30" t="n"/>
      <c r="E115" s="30" t="n"/>
      <c r="F115" s="30" t="n"/>
      <c r="G115" s="30" t="n"/>
      <c r="H115" s="30" t="n"/>
      <c r="I115" s="30" t="n"/>
      <c r="J115" s="31">
        <f>IF(AND(ISNUMBER(F115),ISNUMBER(G115)),(F115*IF(ISNUMBER('CALC-3 Budget'!$D$7),'CALC-3 Budget'!$D$7,'CALC-3 Budget'!$C$7)+G115*IF(ISNUMBER('CALC-3 Budget'!$D$8),'CALC-3 Budget'!$D$8,'CALC-3 Budget'!$C$8))/1000000,"")</f>
        <v/>
      </c>
    </row>
    <row r="116">
      <c r="A116" s="30" t="n"/>
      <c r="B116" s="30" t="n"/>
      <c r="C116" s="30" t="n"/>
      <c r="D116" s="30" t="n"/>
      <c r="E116" s="30" t="n"/>
      <c r="F116" s="30" t="n"/>
      <c r="G116" s="30" t="n"/>
      <c r="H116" s="30" t="n"/>
      <c r="I116" s="30" t="n"/>
      <c r="J116" s="31">
        <f>IF(AND(ISNUMBER(F116),ISNUMBER(G116)),(F116*IF(ISNUMBER('CALC-3 Budget'!$D$7),'CALC-3 Budget'!$D$7,'CALC-3 Budget'!$C$7)+G116*IF(ISNUMBER('CALC-3 Budget'!$D$8),'CALC-3 Budget'!$D$8,'CALC-3 Budget'!$C$8))/1000000,"")</f>
        <v/>
      </c>
    </row>
    <row r="117">
      <c r="A117" s="30" t="n"/>
      <c r="B117" s="30" t="n"/>
      <c r="C117" s="30" t="n"/>
      <c r="D117" s="30" t="n"/>
      <c r="E117" s="30" t="n"/>
      <c r="F117" s="30" t="n"/>
      <c r="G117" s="30" t="n"/>
      <c r="H117" s="30" t="n"/>
      <c r="I117" s="30" t="n"/>
      <c r="J117" s="31">
        <f>IF(AND(ISNUMBER(F117),ISNUMBER(G117)),(F117*IF(ISNUMBER('CALC-3 Budget'!$D$7),'CALC-3 Budget'!$D$7,'CALC-3 Budget'!$C$7)+G117*IF(ISNUMBER('CALC-3 Budget'!$D$8),'CALC-3 Budget'!$D$8,'CALC-3 Budget'!$C$8))/1000000,"")</f>
        <v/>
      </c>
    </row>
    <row r="118">
      <c r="A118" s="30" t="n"/>
      <c r="B118" s="30" t="n"/>
      <c r="C118" s="30" t="n"/>
      <c r="D118" s="30" t="n"/>
      <c r="E118" s="30" t="n"/>
      <c r="F118" s="30" t="n"/>
      <c r="G118" s="30" t="n"/>
      <c r="H118" s="30" t="n"/>
      <c r="I118" s="30" t="n"/>
      <c r="J118" s="31">
        <f>IF(AND(ISNUMBER(F118),ISNUMBER(G118)),(F118*IF(ISNUMBER('CALC-3 Budget'!$D$7),'CALC-3 Budget'!$D$7,'CALC-3 Budget'!$C$7)+G118*IF(ISNUMBER('CALC-3 Budget'!$D$8),'CALC-3 Budget'!$D$8,'CALC-3 Budget'!$C$8))/1000000,"")</f>
        <v/>
      </c>
    </row>
    <row r="119">
      <c r="A119" s="30" t="n"/>
      <c r="B119" s="30" t="n"/>
      <c r="C119" s="30" t="n"/>
      <c r="D119" s="30" t="n"/>
      <c r="E119" s="30" t="n"/>
      <c r="F119" s="30" t="n"/>
      <c r="G119" s="30" t="n"/>
      <c r="H119" s="30" t="n"/>
      <c r="I119" s="30" t="n"/>
      <c r="J119" s="31">
        <f>IF(AND(ISNUMBER(F119),ISNUMBER(G119)),(F119*IF(ISNUMBER('CALC-3 Budget'!$D$7),'CALC-3 Budget'!$D$7,'CALC-3 Budget'!$C$7)+G119*IF(ISNUMBER('CALC-3 Budget'!$D$8),'CALC-3 Budget'!$D$8,'CALC-3 Budget'!$C$8))/1000000,"")</f>
        <v/>
      </c>
    </row>
    <row r="120">
      <c r="A120" s="30" t="n"/>
      <c r="B120" s="30" t="n"/>
      <c r="C120" s="30" t="n"/>
      <c r="D120" s="30" t="n"/>
      <c r="E120" s="30" t="n"/>
      <c r="F120" s="30" t="n"/>
      <c r="G120" s="30" t="n"/>
      <c r="H120" s="30" t="n"/>
      <c r="I120" s="30" t="n"/>
      <c r="J120" s="31">
        <f>IF(AND(ISNUMBER(F120),ISNUMBER(G120)),(F120*IF(ISNUMBER('CALC-3 Budget'!$D$7),'CALC-3 Budget'!$D$7,'CALC-3 Budget'!$C$7)+G120*IF(ISNUMBER('CALC-3 Budget'!$D$8),'CALC-3 Budget'!$D$8,'CALC-3 Budget'!$C$8))/1000000,"")</f>
        <v/>
      </c>
    </row>
    <row r="121">
      <c r="A121" s="30" t="n"/>
      <c r="B121" s="30" t="n"/>
      <c r="C121" s="30" t="n"/>
      <c r="D121" s="30" t="n"/>
      <c r="E121" s="30" t="n"/>
      <c r="F121" s="30" t="n"/>
      <c r="G121" s="30" t="n"/>
      <c r="H121" s="30" t="n"/>
      <c r="I121" s="30" t="n"/>
      <c r="J121" s="31">
        <f>IF(AND(ISNUMBER(F121),ISNUMBER(G121)),(F121*IF(ISNUMBER('CALC-3 Budget'!$D$7),'CALC-3 Budget'!$D$7,'CALC-3 Budget'!$C$7)+G121*IF(ISNUMBER('CALC-3 Budget'!$D$8),'CALC-3 Budget'!$D$8,'CALC-3 Budget'!$C$8))/1000000,"")</f>
        <v/>
      </c>
    </row>
    <row r="122">
      <c r="A122" s="30" t="n"/>
      <c r="B122" s="30" t="n"/>
      <c r="C122" s="30" t="n"/>
      <c r="D122" s="30" t="n"/>
      <c r="E122" s="30" t="n"/>
      <c r="F122" s="30" t="n"/>
      <c r="G122" s="30" t="n"/>
      <c r="H122" s="30" t="n"/>
      <c r="I122" s="30" t="n"/>
      <c r="J122" s="31">
        <f>IF(AND(ISNUMBER(F122),ISNUMBER(G122)),(F122*IF(ISNUMBER('CALC-3 Budget'!$D$7),'CALC-3 Budget'!$D$7,'CALC-3 Budget'!$C$7)+G122*IF(ISNUMBER('CALC-3 Budget'!$D$8),'CALC-3 Budget'!$D$8,'CALC-3 Budget'!$C$8))/1000000,"")</f>
        <v/>
      </c>
    </row>
    <row r="123">
      <c r="A123" s="30" t="n"/>
      <c r="B123" s="30" t="n"/>
      <c r="C123" s="30" t="n"/>
      <c r="D123" s="30" t="n"/>
      <c r="E123" s="30" t="n"/>
      <c r="F123" s="30" t="n"/>
      <c r="G123" s="30" t="n"/>
      <c r="H123" s="30" t="n"/>
      <c r="I123" s="30" t="n"/>
      <c r="J123" s="31">
        <f>IF(AND(ISNUMBER(F123),ISNUMBER(G123)),(F123*IF(ISNUMBER('CALC-3 Budget'!$D$7),'CALC-3 Budget'!$D$7,'CALC-3 Budget'!$C$7)+G123*IF(ISNUMBER('CALC-3 Budget'!$D$8),'CALC-3 Budget'!$D$8,'CALC-3 Budget'!$C$8))/1000000,"")</f>
        <v/>
      </c>
    </row>
    <row r="124">
      <c r="A124" s="30" t="n"/>
      <c r="B124" s="30" t="n"/>
      <c r="C124" s="30" t="n"/>
      <c r="D124" s="30" t="n"/>
      <c r="E124" s="30" t="n"/>
      <c r="F124" s="30" t="n"/>
      <c r="G124" s="30" t="n"/>
      <c r="H124" s="30" t="n"/>
      <c r="I124" s="30" t="n"/>
      <c r="J124" s="31">
        <f>IF(AND(ISNUMBER(F124),ISNUMBER(G124)),(F124*IF(ISNUMBER('CALC-3 Budget'!$D$7),'CALC-3 Budget'!$D$7,'CALC-3 Budget'!$C$7)+G124*IF(ISNUMBER('CALC-3 Budget'!$D$8),'CALC-3 Budget'!$D$8,'CALC-3 Budget'!$C$8))/1000000,"")</f>
        <v/>
      </c>
    </row>
    <row r="125">
      <c r="A125" s="30" t="n"/>
      <c r="B125" s="30" t="n"/>
      <c r="C125" s="30" t="n"/>
      <c r="D125" s="30" t="n"/>
      <c r="E125" s="30" t="n"/>
      <c r="F125" s="30" t="n"/>
      <c r="G125" s="30" t="n"/>
      <c r="H125" s="30" t="n"/>
      <c r="I125" s="30" t="n"/>
      <c r="J125" s="31">
        <f>IF(AND(ISNUMBER(F125),ISNUMBER(G125)),(F125*IF(ISNUMBER('CALC-3 Budget'!$D$7),'CALC-3 Budget'!$D$7,'CALC-3 Budget'!$C$7)+G125*IF(ISNUMBER('CALC-3 Budget'!$D$8),'CALC-3 Budget'!$D$8,'CALC-3 Budget'!$C$8))/1000000,"")</f>
        <v/>
      </c>
    </row>
    <row r="126">
      <c r="A126" s="30" t="n"/>
      <c r="B126" s="30" t="n"/>
      <c r="C126" s="30" t="n"/>
      <c r="D126" s="30" t="n"/>
      <c r="E126" s="30" t="n"/>
      <c r="F126" s="30" t="n"/>
      <c r="G126" s="30" t="n"/>
      <c r="H126" s="30" t="n"/>
      <c r="I126" s="30" t="n"/>
      <c r="J126" s="31">
        <f>IF(AND(ISNUMBER(F126),ISNUMBER(G126)),(F126*IF(ISNUMBER('CALC-3 Budget'!$D$7),'CALC-3 Budget'!$D$7,'CALC-3 Budget'!$C$7)+G126*IF(ISNUMBER('CALC-3 Budget'!$D$8),'CALC-3 Budget'!$D$8,'CALC-3 Budget'!$C$8))/1000000,"")</f>
        <v/>
      </c>
    </row>
    <row r="127">
      <c r="A127" s="30" t="n"/>
      <c r="B127" s="30" t="n"/>
      <c r="C127" s="30" t="n"/>
      <c r="D127" s="30" t="n"/>
      <c r="E127" s="30" t="n"/>
      <c r="F127" s="30" t="n"/>
      <c r="G127" s="30" t="n"/>
      <c r="H127" s="30" t="n"/>
      <c r="I127" s="30" t="n"/>
      <c r="J127" s="31">
        <f>IF(AND(ISNUMBER(F127),ISNUMBER(G127)),(F127*IF(ISNUMBER('CALC-3 Budget'!$D$7),'CALC-3 Budget'!$D$7,'CALC-3 Budget'!$C$7)+G127*IF(ISNUMBER('CALC-3 Budget'!$D$8),'CALC-3 Budget'!$D$8,'CALC-3 Budget'!$C$8))/1000000,"")</f>
        <v/>
      </c>
    </row>
    <row r="128">
      <c r="A128" s="30" t="n"/>
      <c r="B128" s="30" t="n"/>
      <c r="C128" s="30" t="n"/>
      <c r="D128" s="30" t="n"/>
      <c r="E128" s="30" t="n"/>
      <c r="F128" s="30" t="n"/>
      <c r="G128" s="30" t="n"/>
      <c r="H128" s="30" t="n"/>
      <c r="I128" s="30" t="n"/>
      <c r="J128" s="31">
        <f>IF(AND(ISNUMBER(F128),ISNUMBER(G128)),(F128*IF(ISNUMBER('CALC-3 Budget'!$D$7),'CALC-3 Budget'!$D$7,'CALC-3 Budget'!$C$7)+G128*IF(ISNUMBER('CALC-3 Budget'!$D$8),'CALC-3 Budget'!$D$8,'CALC-3 Budget'!$C$8))/1000000,"")</f>
        <v/>
      </c>
    </row>
    <row r="129">
      <c r="A129" s="30" t="n"/>
      <c r="B129" s="30" t="n"/>
      <c r="C129" s="30" t="n"/>
      <c r="D129" s="30" t="n"/>
      <c r="E129" s="30" t="n"/>
      <c r="F129" s="30" t="n"/>
      <c r="G129" s="30" t="n"/>
      <c r="H129" s="30" t="n"/>
      <c r="I129" s="30" t="n"/>
      <c r="J129" s="31">
        <f>IF(AND(ISNUMBER(F129),ISNUMBER(G129)),(F129*IF(ISNUMBER('CALC-3 Budget'!$D$7),'CALC-3 Budget'!$D$7,'CALC-3 Budget'!$C$7)+G129*IF(ISNUMBER('CALC-3 Budget'!$D$8),'CALC-3 Budget'!$D$8,'CALC-3 Budget'!$C$8))/1000000,"")</f>
        <v/>
      </c>
    </row>
    <row r="130">
      <c r="A130" s="30" t="n"/>
      <c r="B130" s="30" t="n"/>
      <c r="C130" s="30" t="n"/>
      <c r="D130" s="30" t="n"/>
      <c r="E130" s="30" t="n"/>
      <c r="F130" s="30" t="n"/>
      <c r="G130" s="30" t="n"/>
      <c r="H130" s="30" t="n"/>
      <c r="I130" s="30" t="n"/>
      <c r="J130" s="31">
        <f>IF(AND(ISNUMBER(F130),ISNUMBER(G130)),(F130*IF(ISNUMBER('CALC-3 Budget'!$D$7),'CALC-3 Budget'!$D$7,'CALC-3 Budget'!$C$7)+G130*IF(ISNUMBER('CALC-3 Budget'!$D$8),'CALC-3 Budget'!$D$8,'CALC-3 Budget'!$C$8))/1000000,"")</f>
        <v/>
      </c>
    </row>
    <row r="131">
      <c r="A131" s="30" t="n"/>
      <c r="B131" s="30" t="n"/>
      <c r="C131" s="30" t="n"/>
      <c r="D131" s="30" t="n"/>
      <c r="E131" s="30" t="n"/>
      <c r="F131" s="30" t="n"/>
      <c r="G131" s="30" t="n"/>
      <c r="H131" s="30" t="n"/>
      <c r="I131" s="30" t="n"/>
      <c r="J131" s="31">
        <f>IF(AND(ISNUMBER(F131),ISNUMBER(G131)),(F131*IF(ISNUMBER('CALC-3 Budget'!$D$7),'CALC-3 Budget'!$D$7,'CALC-3 Budget'!$C$7)+G131*IF(ISNUMBER('CALC-3 Budget'!$D$8),'CALC-3 Budget'!$D$8,'CALC-3 Budget'!$C$8))/1000000,"")</f>
        <v/>
      </c>
    </row>
    <row r="132">
      <c r="A132" s="30" t="n"/>
      <c r="B132" s="30" t="n"/>
      <c r="C132" s="30" t="n"/>
      <c r="D132" s="30" t="n"/>
      <c r="E132" s="30" t="n"/>
      <c r="F132" s="30" t="n"/>
      <c r="G132" s="30" t="n"/>
      <c r="H132" s="30" t="n"/>
      <c r="I132" s="30" t="n"/>
      <c r="J132" s="31">
        <f>IF(AND(ISNUMBER(F132),ISNUMBER(G132)),(F132*IF(ISNUMBER('CALC-3 Budget'!$D$7),'CALC-3 Budget'!$D$7,'CALC-3 Budget'!$C$7)+G132*IF(ISNUMBER('CALC-3 Budget'!$D$8),'CALC-3 Budget'!$D$8,'CALC-3 Budget'!$C$8))/1000000,"")</f>
        <v/>
      </c>
    </row>
    <row r="133">
      <c r="A133" s="30" t="n"/>
      <c r="B133" s="30" t="n"/>
      <c r="C133" s="30" t="n"/>
      <c r="D133" s="30" t="n"/>
      <c r="E133" s="30" t="n"/>
      <c r="F133" s="30" t="n"/>
      <c r="G133" s="30" t="n"/>
      <c r="H133" s="30" t="n"/>
      <c r="I133" s="30" t="n"/>
      <c r="J133" s="31">
        <f>IF(AND(ISNUMBER(F133),ISNUMBER(G133)),(F133*IF(ISNUMBER('CALC-3 Budget'!$D$7),'CALC-3 Budget'!$D$7,'CALC-3 Budget'!$C$7)+G133*IF(ISNUMBER('CALC-3 Budget'!$D$8),'CALC-3 Budget'!$D$8,'CALC-3 Budget'!$C$8))/1000000,"")</f>
        <v/>
      </c>
    </row>
    <row r="134">
      <c r="A134" s="30" t="n"/>
      <c r="B134" s="30" t="n"/>
      <c r="C134" s="30" t="n"/>
      <c r="D134" s="30" t="n"/>
      <c r="E134" s="30" t="n"/>
      <c r="F134" s="30" t="n"/>
      <c r="G134" s="30" t="n"/>
      <c r="H134" s="30" t="n"/>
      <c r="I134" s="30" t="n"/>
      <c r="J134" s="31">
        <f>IF(AND(ISNUMBER(F134),ISNUMBER(G134)),(F134*IF(ISNUMBER('CALC-3 Budget'!$D$7),'CALC-3 Budget'!$D$7,'CALC-3 Budget'!$C$7)+G134*IF(ISNUMBER('CALC-3 Budget'!$D$8),'CALC-3 Budget'!$D$8,'CALC-3 Budget'!$C$8))/1000000,"")</f>
        <v/>
      </c>
    </row>
    <row r="135">
      <c r="A135" s="30" t="n"/>
      <c r="B135" s="30" t="n"/>
      <c r="C135" s="30" t="n"/>
      <c r="D135" s="30" t="n"/>
      <c r="E135" s="30" t="n"/>
      <c r="F135" s="30" t="n"/>
      <c r="G135" s="30" t="n"/>
      <c r="H135" s="30" t="n"/>
      <c r="I135" s="30" t="n"/>
      <c r="J135" s="31">
        <f>IF(AND(ISNUMBER(F135),ISNUMBER(G135)),(F135*IF(ISNUMBER('CALC-3 Budget'!$D$7),'CALC-3 Budget'!$D$7,'CALC-3 Budget'!$C$7)+G135*IF(ISNUMBER('CALC-3 Budget'!$D$8),'CALC-3 Budget'!$D$8,'CALC-3 Budget'!$C$8))/1000000,"")</f>
        <v/>
      </c>
    </row>
    <row r="136">
      <c r="A136" s="30" t="n"/>
      <c r="B136" s="30" t="n"/>
      <c r="C136" s="30" t="n"/>
      <c r="D136" s="30" t="n"/>
      <c r="E136" s="30" t="n"/>
      <c r="F136" s="30" t="n"/>
      <c r="G136" s="30" t="n"/>
      <c r="H136" s="30" t="n"/>
      <c r="I136" s="30" t="n"/>
      <c r="J136" s="31">
        <f>IF(AND(ISNUMBER(F136),ISNUMBER(G136)),(F136*IF(ISNUMBER('CALC-3 Budget'!$D$7),'CALC-3 Budget'!$D$7,'CALC-3 Budget'!$C$7)+G136*IF(ISNUMBER('CALC-3 Budget'!$D$8),'CALC-3 Budget'!$D$8,'CALC-3 Budget'!$C$8))/1000000,"")</f>
        <v/>
      </c>
    </row>
    <row r="137">
      <c r="A137" s="30" t="n"/>
      <c r="B137" s="30" t="n"/>
      <c r="C137" s="30" t="n"/>
      <c r="D137" s="30" t="n"/>
      <c r="E137" s="30" t="n"/>
      <c r="F137" s="30" t="n"/>
      <c r="G137" s="30" t="n"/>
      <c r="H137" s="30" t="n"/>
      <c r="I137" s="30" t="n"/>
      <c r="J137" s="31">
        <f>IF(AND(ISNUMBER(F137),ISNUMBER(G137)),(F137*IF(ISNUMBER('CALC-3 Budget'!$D$7),'CALC-3 Budget'!$D$7,'CALC-3 Budget'!$C$7)+G137*IF(ISNUMBER('CALC-3 Budget'!$D$8),'CALC-3 Budget'!$D$8,'CALC-3 Budget'!$C$8))/1000000,"")</f>
        <v/>
      </c>
    </row>
    <row r="138">
      <c r="A138" s="30" t="n"/>
      <c r="B138" s="30" t="n"/>
      <c r="C138" s="30" t="n"/>
      <c r="D138" s="30" t="n"/>
      <c r="E138" s="30" t="n"/>
      <c r="F138" s="30" t="n"/>
      <c r="G138" s="30" t="n"/>
      <c r="H138" s="30" t="n"/>
      <c r="I138" s="30" t="n"/>
      <c r="J138" s="31">
        <f>IF(AND(ISNUMBER(F138),ISNUMBER(G138)),(F138*IF(ISNUMBER('CALC-3 Budget'!$D$7),'CALC-3 Budget'!$D$7,'CALC-3 Budget'!$C$7)+G138*IF(ISNUMBER('CALC-3 Budget'!$D$8),'CALC-3 Budget'!$D$8,'CALC-3 Budget'!$C$8))/1000000,"")</f>
        <v/>
      </c>
    </row>
    <row r="139">
      <c r="A139" s="30" t="n"/>
      <c r="B139" s="30" t="n"/>
      <c r="C139" s="30" t="n"/>
      <c r="D139" s="30" t="n"/>
      <c r="E139" s="30" t="n"/>
      <c r="F139" s="30" t="n"/>
      <c r="G139" s="30" t="n"/>
      <c r="H139" s="30" t="n"/>
      <c r="I139" s="30" t="n"/>
      <c r="J139" s="31">
        <f>IF(AND(ISNUMBER(F139),ISNUMBER(G139)),(F139*IF(ISNUMBER('CALC-3 Budget'!$D$7),'CALC-3 Budget'!$D$7,'CALC-3 Budget'!$C$7)+G139*IF(ISNUMBER('CALC-3 Budget'!$D$8),'CALC-3 Budget'!$D$8,'CALC-3 Budget'!$C$8))/1000000,"")</f>
        <v/>
      </c>
    </row>
    <row r="140">
      <c r="A140" s="30" t="n"/>
      <c r="B140" s="30" t="n"/>
      <c r="C140" s="30" t="n"/>
      <c r="D140" s="30" t="n"/>
      <c r="E140" s="30" t="n"/>
      <c r="F140" s="30" t="n"/>
      <c r="G140" s="30" t="n"/>
      <c r="H140" s="30" t="n"/>
      <c r="I140" s="30" t="n"/>
      <c r="J140" s="31">
        <f>IF(AND(ISNUMBER(F140),ISNUMBER(G140)),(F140*IF(ISNUMBER('CALC-3 Budget'!$D$7),'CALC-3 Budget'!$D$7,'CALC-3 Budget'!$C$7)+G140*IF(ISNUMBER('CALC-3 Budget'!$D$8),'CALC-3 Budget'!$D$8,'CALC-3 Budget'!$C$8))/1000000,"")</f>
        <v/>
      </c>
    </row>
    <row r="141">
      <c r="A141" s="30" t="n"/>
      <c r="B141" s="30" t="n"/>
      <c r="C141" s="30" t="n"/>
      <c r="D141" s="30" t="n"/>
      <c r="E141" s="30" t="n"/>
      <c r="F141" s="30" t="n"/>
      <c r="G141" s="30" t="n"/>
      <c r="H141" s="30" t="n"/>
      <c r="I141" s="30" t="n"/>
      <c r="J141" s="31">
        <f>IF(AND(ISNUMBER(F141),ISNUMBER(G141)),(F141*IF(ISNUMBER('CALC-3 Budget'!$D$7),'CALC-3 Budget'!$D$7,'CALC-3 Budget'!$C$7)+G141*IF(ISNUMBER('CALC-3 Budget'!$D$8),'CALC-3 Budget'!$D$8,'CALC-3 Budget'!$C$8))/1000000,"")</f>
        <v/>
      </c>
    </row>
    <row r="142">
      <c r="A142" s="30" t="n"/>
      <c r="B142" s="30" t="n"/>
      <c r="C142" s="30" t="n"/>
      <c r="D142" s="30" t="n"/>
      <c r="E142" s="30" t="n"/>
      <c r="F142" s="30" t="n"/>
      <c r="G142" s="30" t="n"/>
      <c r="H142" s="30" t="n"/>
      <c r="I142" s="30" t="n"/>
      <c r="J142" s="31">
        <f>IF(AND(ISNUMBER(F142),ISNUMBER(G142)),(F142*IF(ISNUMBER('CALC-3 Budget'!$D$7),'CALC-3 Budget'!$D$7,'CALC-3 Budget'!$C$7)+G142*IF(ISNUMBER('CALC-3 Budget'!$D$8),'CALC-3 Budget'!$D$8,'CALC-3 Budget'!$C$8))/1000000,"")</f>
        <v/>
      </c>
    </row>
    <row r="143">
      <c r="A143" s="30" t="n"/>
      <c r="B143" s="30" t="n"/>
      <c r="C143" s="30" t="n"/>
      <c r="D143" s="30" t="n"/>
      <c r="E143" s="30" t="n"/>
      <c r="F143" s="30" t="n"/>
      <c r="G143" s="30" t="n"/>
      <c r="H143" s="30" t="n"/>
      <c r="I143" s="30" t="n"/>
      <c r="J143" s="31">
        <f>IF(AND(ISNUMBER(F143),ISNUMBER(G143)),(F143*IF(ISNUMBER('CALC-3 Budget'!$D$7),'CALC-3 Budget'!$D$7,'CALC-3 Budget'!$C$7)+G143*IF(ISNUMBER('CALC-3 Budget'!$D$8),'CALC-3 Budget'!$D$8,'CALC-3 Budget'!$C$8))/1000000,"")</f>
        <v/>
      </c>
    </row>
    <row r="144">
      <c r="A144" s="30" t="n"/>
      <c r="B144" s="30" t="n"/>
      <c r="C144" s="30" t="n"/>
      <c r="D144" s="30" t="n"/>
      <c r="E144" s="30" t="n"/>
      <c r="F144" s="30" t="n"/>
      <c r="G144" s="30" t="n"/>
      <c r="H144" s="30" t="n"/>
      <c r="I144" s="30" t="n"/>
      <c r="J144" s="31">
        <f>IF(AND(ISNUMBER(F144),ISNUMBER(G144)),(F144*IF(ISNUMBER('CALC-3 Budget'!$D$7),'CALC-3 Budget'!$D$7,'CALC-3 Budget'!$C$7)+G144*IF(ISNUMBER('CALC-3 Budget'!$D$8),'CALC-3 Budget'!$D$8,'CALC-3 Budget'!$C$8))/1000000,"")</f>
        <v/>
      </c>
    </row>
    <row r="145">
      <c r="A145" s="30" t="n"/>
      <c r="B145" s="30" t="n"/>
      <c r="C145" s="30" t="n"/>
      <c r="D145" s="30" t="n"/>
      <c r="E145" s="30" t="n"/>
      <c r="F145" s="30" t="n"/>
      <c r="G145" s="30" t="n"/>
      <c r="H145" s="30" t="n"/>
      <c r="I145" s="30" t="n"/>
      <c r="J145" s="31">
        <f>IF(AND(ISNUMBER(F145),ISNUMBER(G145)),(F145*IF(ISNUMBER('CALC-3 Budget'!$D$7),'CALC-3 Budget'!$D$7,'CALC-3 Budget'!$C$7)+G145*IF(ISNUMBER('CALC-3 Budget'!$D$8),'CALC-3 Budget'!$D$8,'CALC-3 Budget'!$C$8))/1000000,"")</f>
        <v/>
      </c>
    </row>
    <row r="146">
      <c r="A146" s="30" t="n"/>
      <c r="B146" s="30" t="n"/>
      <c r="C146" s="30" t="n"/>
      <c r="D146" s="30" t="n"/>
      <c r="E146" s="30" t="n"/>
      <c r="F146" s="30" t="n"/>
      <c r="G146" s="30" t="n"/>
      <c r="H146" s="30" t="n"/>
      <c r="I146" s="30" t="n"/>
      <c r="J146" s="31">
        <f>IF(AND(ISNUMBER(F146),ISNUMBER(G146)),(F146*IF(ISNUMBER('CALC-3 Budget'!$D$7),'CALC-3 Budget'!$D$7,'CALC-3 Budget'!$C$7)+G146*IF(ISNUMBER('CALC-3 Budget'!$D$8),'CALC-3 Budget'!$D$8,'CALC-3 Budget'!$C$8))/1000000,"")</f>
        <v/>
      </c>
    </row>
    <row r="147">
      <c r="A147" s="30" t="n"/>
      <c r="B147" s="30" t="n"/>
      <c r="C147" s="30" t="n"/>
      <c r="D147" s="30" t="n"/>
      <c r="E147" s="30" t="n"/>
      <c r="F147" s="30" t="n"/>
      <c r="G147" s="30" t="n"/>
      <c r="H147" s="30" t="n"/>
      <c r="I147" s="30" t="n"/>
      <c r="J147" s="31">
        <f>IF(AND(ISNUMBER(F147),ISNUMBER(G147)),(F147*IF(ISNUMBER('CALC-3 Budget'!$D$7),'CALC-3 Budget'!$D$7,'CALC-3 Budget'!$C$7)+G147*IF(ISNUMBER('CALC-3 Budget'!$D$8),'CALC-3 Budget'!$D$8,'CALC-3 Budget'!$C$8))/1000000,"")</f>
        <v/>
      </c>
    </row>
    <row r="148">
      <c r="A148" s="30" t="n"/>
      <c r="B148" s="30" t="n"/>
      <c r="C148" s="30" t="n"/>
      <c r="D148" s="30" t="n"/>
      <c r="E148" s="30" t="n"/>
      <c r="F148" s="30" t="n"/>
      <c r="G148" s="30" t="n"/>
      <c r="H148" s="30" t="n"/>
      <c r="I148" s="30" t="n"/>
      <c r="J148" s="31">
        <f>IF(AND(ISNUMBER(F148),ISNUMBER(G148)),(F148*IF(ISNUMBER('CALC-3 Budget'!$D$7),'CALC-3 Budget'!$D$7,'CALC-3 Budget'!$C$7)+G148*IF(ISNUMBER('CALC-3 Budget'!$D$8),'CALC-3 Budget'!$D$8,'CALC-3 Budget'!$C$8))/1000000,"")</f>
        <v/>
      </c>
    </row>
    <row r="149">
      <c r="A149" s="30" t="n"/>
      <c r="B149" s="30" t="n"/>
      <c r="C149" s="30" t="n"/>
      <c r="D149" s="30" t="n"/>
      <c r="E149" s="30" t="n"/>
      <c r="F149" s="30" t="n"/>
      <c r="G149" s="30" t="n"/>
      <c r="H149" s="30" t="n"/>
      <c r="I149" s="30" t="n"/>
      <c r="J149" s="31">
        <f>IF(AND(ISNUMBER(F149),ISNUMBER(G149)),(F149*IF(ISNUMBER('CALC-3 Budget'!$D$7),'CALC-3 Budget'!$D$7,'CALC-3 Budget'!$C$7)+G149*IF(ISNUMBER('CALC-3 Budget'!$D$8),'CALC-3 Budget'!$D$8,'CALC-3 Budget'!$C$8))/1000000,"")</f>
        <v/>
      </c>
    </row>
    <row r="150">
      <c r="A150" s="30" t="n"/>
      <c r="B150" s="30" t="n"/>
      <c r="C150" s="30" t="n"/>
      <c r="D150" s="30" t="n"/>
      <c r="E150" s="30" t="n"/>
      <c r="F150" s="30" t="n"/>
      <c r="G150" s="30" t="n"/>
      <c r="H150" s="30" t="n"/>
      <c r="I150" s="30" t="n"/>
      <c r="J150" s="31">
        <f>IF(AND(ISNUMBER(F150),ISNUMBER(G150)),(F150*IF(ISNUMBER('CALC-3 Budget'!$D$7),'CALC-3 Budget'!$D$7,'CALC-3 Budget'!$C$7)+G150*IF(ISNUMBER('CALC-3 Budget'!$D$8),'CALC-3 Budget'!$D$8,'CALC-3 Budget'!$C$8))/1000000,"")</f>
        <v/>
      </c>
    </row>
    <row r="151">
      <c r="A151" s="30" t="n"/>
      <c r="B151" s="30" t="n"/>
      <c r="C151" s="30" t="n"/>
      <c r="D151" s="30" t="n"/>
      <c r="E151" s="30" t="n"/>
      <c r="F151" s="30" t="n"/>
      <c r="G151" s="30" t="n"/>
      <c r="H151" s="30" t="n"/>
      <c r="I151" s="30" t="n"/>
      <c r="J151" s="31">
        <f>IF(AND(ISNUMBER(F151),ISNUMBER(G151)),(F151*IF(ISNUMBER('CALC-3 Budget'!$D$7),'CALC-3 Budget'!$D$7,'CALC-3 Budget'!$C$7)+G151*IF(ISNUMBER('CALC-3 Budget'!$D$8),'CALC-3 Budget'!$D$8,'CALC-3 Budget'!$C$8))/1000000,"")</f>
        <v/>
      </c>
    </row>
    <row r="152">
      <c r="A152" s="30" t="n"/>
      <c r="B152" s="30" t="n"/>
      <c r="C152" s="30" t="n"/>
      <c r="D152" s="30" t="n"/>
      <c r="E152" s="30" t="n"/>
      <c r="F152" s="30" t="n"/>
      <c r="G152" s="30" t="n"/>
      <c r="H152" s="30" t="n"/>
      <c r="I152" s="30" t="n"/>
      <c r="J152" s="31">
        <f>IF(AND(ISNUMBER(F152),ISNUMBER(G152)),(F152*IF(ISNUMBER('CALC-3 Budget'!$D$7),'CALC-3 Budget'!$D$7,'CALC-3 Budget'!$C$7)+G152*IF(ISNUMBER('CALC-3 Budget'!$D$8),'CALC-3 Budget'!$D$8,'CALC-3 Budget'!$C$8))/1000000,"")</f>
        <v/>
      </c>
    </row>
    <row r="153">
      <c r="A153" s="30" t="n"/>
      <c r="B153" s="30" t="n"/>
      <c r="C153" s="30" t="n"/>
      <c r="D153" s="30" t="n"/>
      <c r="E153" s="30" t="n"/>
      <c r="F153" s="30" t="n"/>
      <c r="G153" s="30" t="n"/>
      <c r="H153" s="30" t="n"/>
      <c r="I153" s="30" t="n"/>
      <c r="J153" s="31">
        <f>IF(AND(ISNUMBER(F153),ISNUMBER(G153)),(F153*IF(ISNUMBER('CALC-3 Budget'!$D$7),'CALC-3 Budget'!$D$7,'CALC-3 Budget'!$C$7)+G153*IF(ISNUMBER('CALC-3 Budget'!$D$8),'CALC-3 Budget'!$D$8,'CALC-3 Budget'!$C$8))/1000000,"")</f>
        <v/>
      </c>
    </row>
    <row r="154">
      <c r="A154" s="30" t="n"/>
      <c r="B154" s="30" t="n"/>
      <c r="C154" s="30" t="n"/>
      <c r="D154" s="30" t="n"/>
      <c r="E154" s="30" t="n"/>
      <c r="F154" s="30" t="n"/>
      <c r="G154" s="30" t="n"/>
      <c r="H154" s="30" t="n"/>
      <c r="I154" s="30" t="n"/>
      <c r="J154" s="31">
        <f>IF(AND(ISNUMBER(F154),ISNUMBER(G154)),(F154*IF(ISNUMBER('CALC-3 Budget'!$D$7),'CALC-3 Budget'!$D$7,'CALC-3 Budget'!$C$7)+G154*IF(ISNUMBER('CALC-3 Budget'!$D$8),'CALC-3 Budget'!$D$8,'CALC-3 Budget'!$C$8))/1000000,"")</f>
        <v/>
      </c>
    </row>
    <row r="155">
      <c r="A155" s="30" t="n"/>
      <c r="B155" s="30" t="n"/>
      <c r="C155" s="30" t="n"/>
      <c r="D155" s="30" t="n"/>
      <c r="E155" s="30" t="n"/>
      <c r="F155" s="30" t="n"/>
      <c r="G155" s="30" t="n"/>
      <c r="H155" s="30" t="n"/>
      <c r="I155" s="30" t="n"/>
      <c r="J155" s="31">
        <f>IF(AND(ISNUMBER(F155),ISNUMBER(G155)),(F155*IF(ISNUMBER('CALC-3 Budget'!$D$7),'CALC-3 Budget'!$D$7,'CALC-3 Budget'!$C$7)+G155*IF(ISNUMBER('CALC-3 Budget'!$D$8),'CALC-3 Budget'!$D$8,'CALC-3 Budget'!$C$8))/1000000,"")</f>
        <v/>
      </c>
    </row>
    <row r="156">
      <c r="A156" s="30" t="n"/>
      <c r="B156" s="30" t="n"/>
      <c r="C156" s="30" t="n"/>
      <c r="D156" s="30" t="n"/>
      <c r="E156" s="30" t="n"/>
      <c r="F156" s="30" t="n"/>
      <c r="G156" s="30" t="n"/>
      <c r="H156" s="30" t="n"/>
      <c r="I156" s="30" t="n"/>
      <c r="J156" s="31">
        <f>IF(AND(ISNUMBER(F156),ISNUMBER(G156)),(F156*IF(ISNUMBER('CALC-3 Budget'!$D$7),'CALC-3 Budget'!$D$7,'CALC-3 Budget'!$C$7)+G156*IF(ISNUMBER('CALC-3 Budget'!$D$8),'CALC-3 Budget'!$D$8,'CALC-3 Budget'!$C$8))/1000000,"")</f>
        <v/>
      </c>
    </row>
    <row r="157">
      <c r="A157" s="30" t="n"/>
      <c r="B157" s="30" t="n"/>
      <c r="C157" s="30" t="n"/>
      <c r="D157" s="30" t="n"/>
      <c r="E157" s="30" t="n"/>
      <c r="F157" s="30" t="n"/>
      <c r="G157" s="30" t="n"/>
      <c r="H157" s="30" t="n"/>
      <c r="I157" s="30" t="n"/>
      <c r="J157" s="31">
        <f>IF(AND(ISNUMBER(F157),ISNUMBER(G157)),(F157*IF(ISNUMBER('CALC-3 Budget'!$D$7),'CALC-3 Budget'!$D$7,'CALC-3 Budget'!$C$7)+G157*IF(ISNUMBER('CALC-3 Budget'!$D$8),'CALC-3 Budget'!$D$8,'CALC-3 Budget'!$C$8))/1000000,"")</f>
        <v/>
      </c>
    </row>
    <row r="158">
      <c r="A158" s="30" t="n"/>
      <c r="B158" s="30" t="n"/>
      <c r="C158" s="30" t="n"/>
      <c r="D158" s="30" t="n"/>
      <c r="E158" s="30" t="n"/>
      <c r="F158" s="30" t="n"/>
      <c r="G158" s="30" t="n"/>
      <c r="H158" s="30" t="n"/>
      <c r="I158" s="30" t="n"/>
      <c r="J158" s="31">
        <f>IF(AND(ISNUMBER(F158),ISNUMBER(G158)),(F158*IF(ISNUMBER('CALC-3 Budget'!$D$7),'CALC-3 Budget'!$D$7,'CALC-3 Budget'!$C$7)+G158*IF(ISNUMBER('CALC-3 Budget'!$D$8),'CALC-3 Budget'!$D$8,'CALC-3 Budget'!$C$8))/1000000,"")</f>
        <v/>
      </c>
    </row>
    <row r="159">
      <c r="A159" s="30" t="n"/>
      <c r="B159" s="30" t="n"/>
      <c r="C159" s="30" t="n"/>
      <c r="D159" s="30" t="n"/>
      <c r="E159" s="30" t="n"/>
      <c r="F159" s="30" t="n"/>
      <c r="G159" s="30" t="n"/>
      <c r="H159" s="30" t="n"/>
      <c r="I159" s="30" t="n"/>
      <c r="J159" s="31">
        <f>IF(AND(ISNUMBER(F159),ISNUMBER(G159)),(F159*IF(ISNUMBER('CALC-3 Budget'!$D$7),'CALC-3 Budget'!$D$7,'CALC-3 Budget'!$C$7)+G159*IF(ISNUMBER('CALC-3 Budget'!$D$8),'CALC-3 Budget'!$D$8,'CALC-3 Budget'!$C$8))/1000000,"")</f>
        <v/>
      </c>
    </row>
    <row r="160">
      <c r="A160" s="30" t="n"/>
      <c r="B160" s="30" t="n"/>
      <c r="C160" s="30" t="n"/>
      <c r="D160" s="30" t="n"/>
      <c r="E160" s="30" t="n"/>
      <c r="F160" s="30" t="n"/>
      <c r="G160" s="30" t="n"/>
      <c r="H160" s="30" t="n"/>
      <c r="I160" s="30" t="n"/>
      <c r="J160" s="31">
        <f>IF(AND(ISNUMBER(F160),ISNUMBER(G160)),(F160*IF(ISNUMBER('CALC-3 Budget'!$D$7),'CALC-3 Budget'!$D$7,'CALC-3 Budget'!$C$7)+G160*IF(ISNUMBER('CALC-3 Budget'!$D$8),'CALC-3 Budget'!$D$8,'CALC-3 Budget'!$C$8))/1000000,"")</f>
        <v/>
      </c>
    </row>
    <row r="161">
      <c r="A161" s="30" t="n"/>
      <c r="B161" s="30" t="n"/>
      <c r="C161" s="30" t="n"/>
      <c r="D161" s="30" t="n"/>
      <c r="E161" s="30" t="n"/>
      <c r="F161" s="30" t="n"/>
      <c r="G161" s="30" t="n"/>
      <c r="H161" s="30" t="n"/>
      <c r="I161" s="30" t="n"/>
      <c r="J161" s="31">
        <f>IF(AND(ISNUMBER(F161),ISNUMBER(G161)),(F161*IF(ISNUMBER('CALC-3 Budget'!$D$7),'CALC-3 Budget'!$D$7,'CALC-3 Budget'!$C$7)+G161*IF(ISNUMBER('CALC-3 Budget'!$D$8),'CALC-3 Budget'!$D$8,'CALC-3 Budget'!$C$8))/1000000,"")</f>
        <v/>
      </c>
    </row>
    <row r="162">
      <c r="A162" s="30" t="n"/>
      <c r="B162" s="30" t="n"/>
      <c r="C162" s="30" t="n"/>
      <c r="D162" s="30" t="n"/>
      <c r="E162" s="30" t="n"/>
      <c r="F162" s="30" t="n"/>
      <c r="G162" s="30" t="n"/>
      <c r="H162" s="30" t="n"/>
      <c r="I162" s="30" t="n"/>
      <c r="J162" s="31">
        <f>IF(AND(ISNUMBER(F162),ISNUMBER(G162)),(F162*IF(ISNUMBER('CALC-3 Budget'!$D$7),'CALC-3 Budget'!$D$7,'CALC-3 Budget'!$C$7)+G162*IF(ISNUMBER('CALC-3 Budget'!$D$8),'CALC-3 Budget'!$D$8,'CALC-3 Budget'!$C$8))/1000000,"")</f>
        <v/>
      </c>
    </row>
    <row r="163">
      <c r="A163" s="30" t="n"/>
      <c r="B163" s="30" t="n"/>
      <c r="C163" s="30" t="n"/>
      <c r="D163" s="30" t="n"/>
      <c r="E163" s="30" t="n"/>
      <c r="F163" s="30" t="n"/>
      <c r="G163" s="30" t="n"/>
      <c r="H163" s="30" t="n"/>
      <c r="I163" s="30" t="n"/>
      <c r="J163" s="31">
        <f>IF(AND(ISNUMBER(F163),ISNUMBER(G163)),(F163*IF(ISNUMBER('CALC-3 Budget'!$D$7),'CALC-3 Budget'!$D$7,'CALC-3 Budget'!$C$7)+G163*IF(ISNUMBER('CALC-3 Budget'!$D$8),'CALC-3 Budget'!$D$8,'CALC-3 Budget'!$C$8))/1000000,"")</f>
        <v/>
      </c>
    </row>
    <row r="164">
      <c r="A164" s="30" t="n"/>
      <c r="B164" s="30" t="n"/>
      <c r="C164" s="30" t="n"/>
      <c r="D164" s="30" t="n"/>
      <c r="E164" s="30" t="n"/>
      <c r="F164" s="30" t="n"/>
      <c r="G164" s="30" t="n"/>
      <c r="H164" s="30" t="n"/>
      <c r="I164" s="30" t="n"/>
      <c r="J164" s="31">
        <f>IF(AND(ISNUMBER(F164),ISNUMBER(G164)),(F164*IF(ISNUMBER('CALC-3 Budget'!$D$7),'CALC-3 Budget'!$D$7,'CALC-3 Budget'!$C$7)+G164*IF(ISNUMBER('CALC-3 Budget'!$D$8),'CALC-3 Budget'!$D$8,'CALC-3 Budget'!$C$8))/1000000,"")</f>
        <v/>
      </c>
    </row>
    <row r="165">
      <c r="A165" s="30" t="n"/>
      <c r="B165" s="30" t="n"/>
      <c r="C165" s="30" t="n"/>
      <c r="D165" s="30" t="n"/>
      <c r="E165" s="30" t="n"/>
      <c r="F165" s="30" t="n"/>
      <c r="G165" s="30" t="n"/>
      <c r="H165" s="30" t="n"/>
      <c r="I165" s="30" t="n"/>
      <c r="J165" s="31">
        <f>IF(AND(ISNUMBER(F165),ISNUMBER(G165)),(F165*IF(ISNUMBER('CALC-3 Budget'!$D$7),'CALC-3 Budget'!$D$7,'CALC-3 Budget'!$C$7)+G165*IF(ISNUMBER('CALC-3 Budget'!$D$8),'CALC-3 Budget'!$D$8,'CALC-3 Budget'!$C$8))/1000000,"")</f>
        <v/>
      </c>
    </row>
    <row r="166">
      <c r="A166" s="30" t="n"/>
      <c r="B166" s="30" t="n"/>
      <c r="C166" s="30" t="n"/>
      <c r="D166" s="30" t="n"/>
      <c r="E166" s="30" t="n"/>
      <c r="F166" s="30" t="n"/>
      <c r="G166" s="30" t="n"/>
      <c r="H166" s="30" t="n"/>
      <c r="I166" s="30" t="n"/>
      <c r="J166" s="31">
        <f>IF(AND(ISNUMBER(F166),ISNUMBER(G166)),(F166*IF(ISNUMBER('CALC-3 Budget'!$D$7),'CALC-3 Budget'!$D$7,'CALC-3 Budget'!$C$7)+G166*IF(ISNUMBER('CALC-3 Budget'!$D$8),'CALC-3 Budget'!$D$8,'CALC-3 Budget'!$C$8))/1000000,"")</f>
        <v/>
      </c>
    </row>
    <row r="167">
      <c r="A167" s="30" t="n"/>
      <c r="B167" s="30" t="n"/>
      <c r="C167" s="30" t="n"/>
      <c r="D167" s="30" t="n"/>
      <c r="E167" s="30" t="n"/>
      <c r="F167" s="30" t="n"/>
      <c r="G167" s="30" t="n"/>
      <c r="H167" s="30" t="n"/>
      <c r="I167" s="30" t="n"/>
      <c r="J167" s="31">
        <f>IF(AND(ISNUMBER(F167),ISNUMBER(G167)),(F167*IF(ISNUMBER('CALC-3 Budget'!$D$7),'CALC-3 Budget'!$D$7,'CALC-3 Budget'!$C$7)+G167*IF(ISNUMBER('CALC-3 Budget'!$D$8),'CALC-3 Budget'!$D$8,'CALC-3 Budget'!$C$8))/1000000,"")</f>
        <v/>
      </c>
    </row>
    <row r="168">
      <c r="A168" s="30" t="n"/>
      <c r="B168" s="30" t="n"/>
      <c r="C168" s="30" t="n"/>
      <c r="D168" s="30" t="n"/>
      <c r="E168" s="30" t="n"/>
      <c r="F168" s="30" t="n"/>
      <c r="G168" s="30" t="n"/>
      <c r="H168" s="30" t="n"/>
      <c r="I168" s="30" t="n"/>
      <c r="J168" s="31">
        <f>IF(AND(ISNUMBER(F168),ISNUMBER(G168)),(F168*IF(ISNUMBER('CALC-3 Budget'!$D$7),'CALC-3 Budget'!$D$7,'CALC-3 Budget'!$C$7)+G168*IF(ISNUMBER('CALC-3 Budget'!$D$8),'CALC-3 Budget'!$D$8,'CALC-3 Budget'!$C$8))/1000000,"")</f>
        <v/>
      </c>
    </row>
    <row r="169">
      <c r="A169" s="30" t="n"/>
      <c r="B169" s="30" t="n"/>
      <c r="C169" s="30" t="n"/>
      <c r="D169" s="30" t="n"/>
      <c r="E169" s="30" t="n"/>
      <c r="F169" s="30" t="n"/>
      <c r="G169" s="30" t="n"/>
      <c r="H169" s="30" t="n"/>
      <c r="I169" s="30" t="n"/>
      <c r="J169" s="31">
        <f>IF(AND(ISNUMBER(F169),ISNUMBER(G169)),(F169*IF(ISNUMBER('CALC-3 Budget'!$D$7),'CALC-3 Budget'!$D$7,'CALC-3 Budget'!$C$7)+G169*IF(ISNUMBER('CALC-3 Budget'!$D$8),'CALC-3 Budget'!$D$8,'CALC-3 Budget'!$C$8))/1000000,"")</f>
        <v/>
      </c>
    </row>
    <row r="170">
      <c r="A170" s="30" t="n"/>
      <c r="B170" s="30" t="n"/>
      <c r="C170" s="30" t="n"/>
      <c r="D170" s="30" t="n"/>
      <c r="E170" s="30" t="n"/>
      <c r="F170" s="30" t="n"/>
      <c r="G170" s="30" t="n"/>
      <c r="H170" s="30" t="n"/>
      <c r="I170" s="30" t="n"/>
      <c r="J170" s="31">
        <f>IF(AND(ISNUMBER(F170),ISNUMBER(G170)),(F170*IF(ISNUMBER('CALC-3 Budget'!$D$7),'CALC-3 Budget'!$D$7,'CALC-3 Budget'!$C$7)+G170*IF(ISNUMBER('CALC-3 Budget'!$D$8),'CALC-3 Budget'!$D$8,'CALC-3 Budget'!$C$8))/1000000,"")</f>
        <v/>
      </c>
    </row>
    <row r="171">
      <c r="A171" s="30" t="n"/>
      <c r="B171" s="30" t="n"/>
      <c r="C171" s="30" t="n"/>
      <c r="D171" s="30" t="n"/>
      <c r="E171" s="30" t="n"/>
      <c r="F171" s="30" t="n"/>
      <c r="G171" s="30" t="n"/>
      <c r="H171" s="30" t="n"/>
      <c r="I171" s="30" t="n"/>
      <c r="J171" s="31">
        <f>IF(AND(ISNUMBER(F171),ISNUMBER(G171)),(F171*IF(ISNUMBER('CALC-3 Budget'!$D$7),'CALC-3 Budget'!$D$7,'CALC-3 Budget'!$C$7)+G171*IF(ISNUMBER('CALC-3 Budget'!$D$8),'CALC-3 Budget'!$D$8,'CALC-3 Budget'!$C$8))/1000000,"")</f>
        <v/>
      </c>
    </row>
    <row r="172">
      <c r="A172" s="30" t="n"/>
      <c r="B172" s="30" t="n"/>
      <c r="C172" s="30" t="n"/>
      <c r="D172" s="30" t="n"/>
      <c r="E172" s="30" t="n"/>
      <c r="F172" s="30" t="n"/>
      <c r="G172" s="30" t="n"/>
      <c r="H172" s="30" t="n"/>
      <c r="I172" s="30" t="n"/>
      <c r="J172" s="31">
        <f>IF(AND(ISNUMBER(F172),ISNUMBER(G172)),(F172*IF(ISNUMBER('CALC-3 Budget'!$D$7),'CALC-3 Budget'!$D$7,'CALC-3 Budget'!$C$7)+G172*IF(ISNUMBER('CALC-3 Budget'!$D$8),'CALC-3 Budget'!$D$8,'CALC-3 Budget'!$C$8))/1000000,"")</f>
        <v/>
      </c>
    </row>
    <row r="173">
      <c r="A173" s="30" t="n"/>
      <c r="B173" s="30" t="n"/>
      <c r="C173" s="30" t="n"/>
      <c r="D173" s="30" t="n"/>
      <c r="E173" s="30" t="n"/>
      <c r="F173" s="30" t="n"/>
      <c r="G173" s="30" t="n"/>
      <c r="H173" s="30" t="n"/>
      <c r="I173" s="30" t="n"/>
      <c r="J173" s="31">
        <f>IF(AND(ISNUMBER(F173),ISNUMBER(G173)),(F173*IF(ISNUMBER('CALC-3 Budget'!$D$7),'CALC-3 Budget'!$D$7,'CALC-3 Budget'!$C$7)+G173*IF(ISNUMBER('CALC-3 Budget'!$D$8),'CALC-3 Budget'!$D$8,'CALC-3 Budget'!$C$8))/1000000,"")</f>
        <v/>
      </c>
    </row>
    <row r="174">
      <c r="A174" s="30" t="n"/>
      <c r="B174" s="30" t="n"/>
      <c r="C174" s="30" t="n"/>
      <c r="D174" s="30" t="n"/>
      <c r="E174" s="30" t="n"/>
      <c r="F174" s="30" t="n"/>
      <c r="G174" s="30" t="n"/>
      <c r="H174" s="30" t="n"/>
      <c r="I174" s="30" t="n"/>
      <c r="J174" s="31">
        <f>IF(AND(ISNUMBER(F174),ISNUMBER(G174)),(F174*IF(ISNUMBER('CALC-3 Budget'!$D$7),'CALC-3 Budget'!$D$7,'CALC-3 Budget'!$C$7)+G174*IF(ISNUMBER('CALC-3 Budget'!$D$8),'CALC-3 Budget'!$D$8,'CALC-3 Budget'!$C$8))/1000000,"")</f>
        <v/>
      </c>
    </row>
    <row r="175">
      <c r="A175" s="30" t="n"/>
      <c r="B175" s="30" t="n"/>
      <c r="C175" s="30" t="n"/>
      <c r="D175" s="30" t="n"/>
      <c r="E175" s="30" t="n"/>
      <c r="F175" s="30" t="n"/>
      <c r="G175" s="30" t="n"/>
      <c r="H175" s="30" t="n"/>
      <c r="I175" s="30" t="n"/>
      <c r="J175" s="31">
        <f>IF(AND(ISNUMBER(F175),ISNUMBER(G175)),(F175*IF(ISNUMBER('CALC-3 Budget'!$D$7),'CALC-3 Budget'!$D$7,'CALC-3 Budget'!$C$7)+G175*IF(ISNUMBER('CALC-3 Budget'!$D$8),'CALC-3 Budget'!$D$8,'CALC-3 Budget'!$C$8))/1000000,"")</f>
        <v/>
      </c>
    </row>
    <row r="176">
      <c r="A176" s="30" t="n"/>
      <c r="B176" s="30" t="n"/>
      <c r="C176" s="30" t="n"/>
      <c r="D176" s="30" t="n"/>
      <c r="E176" s="30" t="n"/>
      <c r="F176" s="30" t="n"/>
      <c r="G176" s="30" t="n"/>
      <c r="H176" s="30" t="n"/>
      <c r="I176" s="30" t="n"/>
      <c r="J176" s="31">
        <f>IF(AND(ISNUMBER(F176),ISNUMBER(G176)),(F176*IF(ISNUMBER('CALC-3 Budget'!$D$7),'CALC-3 Budget'!$D$7,'CALC-3 Budget'!$C$7)+G176*IF(ISNUMBER('CALC-3 Budget'!$D$8),'CALC-3 Budget'!$D$8,'CALC-3 Budget'!$C$8))/1000000,"")</f>
        <v/>
      </c>
    </row>
    <row r="177">
      <c r="A177" s="30" t="n"/>
      <c r="B177" s="30" t="n"/>
      <c r="C177" s="30" t="n"/>
      <c r="D177" s="30" t="n"/>
      <c r="E177" s="30" t="n"/>
      <c r="F177" s="30" t="n"/>
      <c r="G177" s="30" t="n"/>
      <c r="H177" s="30" t="n"/>
      <c r="I177" s="30" t="n"/>
      <c r="J177" s="31">
        <f>IF(AND(ISNUMBER(F177),ISNUMBER(G177)),(F177*IF(ISNUMBER('CALC-3 Budget'!$D$7),'CALC-3 Budget'!$D$7,'CALC-3 Budget'!$C$7)+G177*IF(ISNUMBER('CALC-3 Budget'!$D$8),'CALC-3 Budget'!$D$8,'CALC-3 Budget'!$C$8))/1000000,"")</f>
        <v/>
      </c>
    </row>
    <row r="178">
      <c r="A178" s="30" t="n"/>
      <c r="B178" s="30" t="n"/>
      <c r="C178" s="30" t="n"/>
      <c r="D178" s="30" t="n"/>
      <c r="E178" s="30" t="n"/>
      <c r="F178" s="30" t="n"/>
      <c r="G178" s="30" t="n"/>
      <c r="H178" s="30" t="n"/>
      <c r="I178" s="30" t="n"/>
      <c r="J178" s="31">
        <f>IF(AND(ISNUMBER(F178),ISNUMBER(G178)),(F178*IF(ISNUMBER('CALC-3 Budget'!$D$7),'CALC-3 Budget'!$D$7,'CALC-3 Budget'!$C$7)+G178*IF(ISNUMBER('CALC-3 Budget'!$D$8),'CALC-3 Budget'!$D$8,'CALC-3 Budget'!$C$8))/1000000,"")</f>
        <v/>
      </c>
    </row>
    <row r="179">
      <c r="A179" s="30" t="n"/>
      <c r="B179" s="30" t="n"/>
      <c r="C179" s="30" t="n"/>
      <c r="D179" s="30" t="n"/>
      <c r="E179" s="30" t="n"/>
      <c r="F179" s="30" t="n"/>
      <c r="G179" s="30" t="n"/>
      <c r="H179" s="30" t="n"/>
      <c r="I179" s="30" t="n"/>
      <c r="J179" s="31">
        <f>IF(AND(ISNUMBER(F179),ISNUMBER(G179)),(F179*IF(ISNUMBER('CALC-3 Budget'!$D$7),'CALC-3 Budget'!$D$7,'CALC-3 Budget'!$C$7)+G179*IF(ISNUMBER('CALC-3 Budget'!$D$8),'CALC-3 Budget'!$D$8,'CALC-3 Budget'!$C$8))/1000000,"")</f>
        <v/>
      </c>
    </row>
    <row r="180">
      <c r="A180" s="30" t="n"/>
      <c r="B180" s="30" t="n"/>
      <c r="C180" s="30" t="n"/>
      <c r="D180" s="30" t="n"/>
      <c r="E180" s="30" t="n"/>
      <c r="F180" s="30" t="n"/>
      <c r="G180" s="30" t="n"/>
      <c r="H180" s="30" t="n"/>
      <c r="I180" s="30" t="n"/>
      <c r="J180" s="31">
        <f>IF(AND(ISNUMBER(F180),ISNUMBER(G180)),(F180*IF(ISNUMBER('CALC-3 Budget'!$D$7),'CALC-3 Budget'!$D$7,'CALC-3 Budget'!$C$7)+G180*IF(ISNUMBER('CALC-3 Budget'!$D$8),'CALC-3 Budget'!$D$8,'CALC-3 Budget'!$C$8))/1000000,"")</f>
        <v/>
      </c>
    </row>
    <row r="181">
      <c r="A181" s="30" t="n"/>
      <c r="B181" s="30" t="n"/>
      <c r="C181" s="30" t="n"/>
      <c r="D181" s="30" t="n"/>
      <c r="E181" s="30" t="n"/>
      <c r="F181" s="30" t="n"/>
      <c r="G181" s="30" t="n"/>
      <c r="H181" s="30" t="n"/>
      <c r="I181" s="30" t="n"/>
      <c r="J181" s="31">
        <f>IF(AND(ISNUMBER(F181),ISNUMBER(G181)),(F181*IF(ISNUMBER('CALC-3 Budget'!$D$7),'CALC-3 Budget'!$D$7,'CALC-3 Budget'!$C$7)+G181*IF(ISNUMBER('CALC-3 Budget'!$D$8),'CALC-3 Budget'!$D$8,'CALC-3 Budget'!$C$8))/1000000,"")</f>
        <v/>
      </c>
    </row>
    <row r="182">
      <c r="A182" s="30" t="n"/>
      <c r="B182" s="30" t="n"/>
      <c r="C182" s="30" t="n"/>
      <c r="D182" s="30" t="n"/>
      <c r="E182" s="30" t="n"/>
      <c r="F182" s="30" t="n"/>
      <c r="G182" s="30" t="n"/>
      <c r="H182" s="30" t="n"/>
      <c r="I182" s="30" t="n"/>
      <c r="J182" s="31">
        <f>IF(AND(ISNUMBER(F182),ISNUMBER(G182)),(F182*IF(ISNUMBER('CALC-3 Budget'!$D$7),'CALC-3 Budget'!$D$7,'CALC-3 Budget'!$C$7)+G182*IF(ISNUMBER('CALC-3 Budget'!$D$8),'CALC-3 Budget'!$D$8,'CALC-3 Budget'!$C$8))/1000000,"")</f>
        <v/>
      </c>
    </row>
    <row r="183">
      <c r="A183" s="30" t="n"/>
      <c r="B183" s="30" t="n"/>
      <c r="C183" s="30" t="n"/>
      <c r="D183" s="30" t="n"/>
      <c r="E183" s="30" t="n"/>
      <c r="F183" s="30" t="n"/>
      <c r="G183" s="30" t="n"/>
      <c r="H183" s="30" t="n"/>
      <c r="I183" s="30" t="n"/>
      <c r="J183" s="31">
        <f>IF(AND(ISNUMBER(F183),ISNUMBER(G183)),(F183*IF(ISNUMBER('CALC-3 Budget'!$D$7),'CALC-3 Budget'!$D$7,'CALC-3 Budget'!$C$7)+G183*IF(ISNUMBER('CALC-3 Budget'!$D$8),'CALC-3 Budget'!$D$8,'CALC-3 Budget'!$C$8))/1000000,"")</f>
        <v/>
      </c>
    </row>
    <row r="184">
      <c r="A184" s="30" t="n"/>
      <c r="B184" s="30" t="n"/>
      <c r="C184" s="30" t="n"/>
      <c r="D184" s="30" t="n"/>
      <c r="E184" s="30" t="n"/>
      <c r="F184" s="30" t="n"/>
      <c r="G184" s="30" t="n"/>
      <c r="H184" s="30" t="n"/>
      <c r="I184" s="30" t="n"/>
      <c r="J184" s="31">
        <f>IF(AND(ISNUMBER(F184),ISNUMBER(G184)),(F184*IF(ISNUMBER('CALC-3 Budget'!$D$7),'CALC-3 Budget'!$D$7,'CALC-3 Budget'!$C$7)+G184*IF(ISNUMBER('CALC-3 Budget'!$D$8),'CALC-3 Budget'!$D$8,'CALC-3 Budget'!$C$8))/1000000,"")</f>
        <v/>
      </c>
    </row>
    <row r="185">
      <c r="A185" s="30" t="n"/>
      <c r="B185" s="30" t="n"/>
      <c r="C185" s="30" t="n"/>
      <c r="D185" s="30" t="n"/>
      <c r="E185" s="30" t="n"/>
      <c r="F185" s="30" t="n"/>
      <c r="G185" s="30" t="n"/>
      <c r="H185" s="30" t="n"/>
      <c r="I185" s="30" t="n"/>
      <c r="J185" s="31">
        <f>IF(AND(ISNUMBER(F185),ISNUMBER(G185)),(F185*IF(ISNUMBER('CALC-3 Budget'!$D$7),'CALC-3 Budget'!$D$7,'CALC-3 Budget'!$C$7)+G185*IF(ISNUMBER('CALC-3 Budget'!$D$8),'CALC-3 Budget'!$D$8,'CALC-3 Budget'!$C$8))/1000000,"")</f>
        <v/>
      </c>
    </row>
    <row r="186">
      <c r="A186" s="30" t="n"/>
      <c r="B186" s="30" t="n"/>
      <c r="C186" s="30" t="n"/>
      <c r="D186" s="30" t="n"/>
      <c r="E186" s="30" t="n"/>
      <c r="F186" s="30" t="n"/>
      <c r="G186" s="30" t="n"/>
      <c r="H186" s="30" t="n"/>
      <c r="I186" s="30" t="n"/>
      <c r="J186" s="31">
        <f>IF(AND(ISNUMBER(F186),ISNUMBER(G186)),(F186*IF(ISNUMBER('CALC-3 Budget'!$D$7),'CALC-3 Budget'!$D$7,'CALC-3 Budget'!$C$7)+G186*IF(ISNUMBER('CALC-3 Budget'!$D$8),'CALC-3 Budget'!$D$8,'CALC-3 Budget'!$C$8))/1000000,"")</f>
        <v/>
      </c>
    </row>
    <row r="187">
      <c r="A187" s="30" t="n"/>
      <c r="B187" s="30" t="n"/>
      <c r="C187" s="30" t="n"/>
      <c r="D187" s="30" t="n"/>
      <c r="E187" s="30" t="n"/>
      <c r="F187" s="30" t="n"/>
      <c r="G187" s="30" t="n"/>
      <c r="H187" s="30" t="n"/>
      <c r="I187" s="30" t="n"/>
      <c r="J187" s="31">
        <f>IF(AND(ISNUMBER(F187),ISNUMBER(G187)),(F187*IF(ISNUMBER('CALC-3 Budget'!$D$7),'CALC-3 Budget'!$D$7,'CALC-3 Budget'!$C$7)+G187*IF(ISNUMBER('CALC-3 Budget'!$D$8),'CALC-3 Budget'!$D$8,'CALC-3 Budget'!$C$8))/1000000,"")</f>
        <v/>
      </c>
    </row>
    <row r="188">
      <c r="A188" s="30" t="n"/>
      <c r="B188" s="30" t="n"/>
      <c r="C188" s="30" t="n"/>
      <c r="D188" s="30" t="n"/>
      <c r="E188" s="30" t="n"/>
      <c r="F188" s="30" t="n"/>
      <c r="G188" s="30" t="n"/>
      <c r="H188" s="30" t="n"/>
      <c r="I188" s="30" t="n"/>
      <c r="J188" s="31">
        <f>IF(AND(ISNUMBER(F188),ISNUMBER(G188)),(F188*IF(ISNUMBER('CALC-3 Budget'!$D$7),'CALC-3 Budget'!$D$7,'CALC-3 Budget'!$C$7)+G188*IF(ISNUMBER('CALC-3 Budget'!$D$8),'CALC-3 Budget'!$D$8,'CALC-3 Budget'!$C$8))/1000000,"")</f>
        <v/>
      </c>
    </row>
    <row r="189">
      <c r="A189" s="30" t="n"/>
      <c r="B189" s="30" t="n"/>
      <c r="C189" s="30" t="n"/>
      <c r="D189" s="30" t="n"/>
      <c r="E189" s="30" t="n"/>
      <c r="F189" s="30" t="n"/>
      <c r="G189" s="30" t="n"/>
      <c r="H189" s="30" t="n"/>
      <c r="I189" s="30" t="n"/>
      <c r="J189" s="31">
        <f>IF(AND(ISNUMBER(F189),ISNUMBER(G189)),(F189*IF(ISNUMBER('CALC-3 Budget'!$D$7),'CALC-3 Budget'!$D$7,'CALC-3 Budget'!$C$7)+G189*IF(ISNUMBER('CALC-3 Budget'!$D$8),'CALC-3 Budget'!$D$8,'CALC-3 Budget'!$C$8))/1000000,"")</f>
        <v/>
      </c>
    </row>
    <row r="190">
      <c r="A190" s="30" t="n"/>
      <c r="B190" s="30" t="n"/>
      <c r="C190" s="30" t="n"/>
      <c r="D190" s="30" t="n"/>
      <c r="E190" s="30" t="n"/>
      <c r="F190" s="30" t="n"/>
      <c r="G190" s="30" t="n"/>
      <c r="H190" s="30" t="n"/>
      <c r="I190" s="30" t="n"/>
      <c r="J190" s="31">
        <f>IF(AND(ISNUMBER(F190),ISNUMBER(G190)),(F190*IF(ISNUMBER('CALC-3 Budget'!$D$7),'CALC-3 Budget'!$D$7,'CALC-3 Budget'!$C$7)+G190*IF(ISNUMBER('CALC-3 Budget'!$D$8),'CALC-3 Budget'!$D$8,'CALC-3 Budget'!$C$8))/1000000,"")</f>
        <v/>
      </c>
    </row>
    <row r="191">
      <c r="A191" s="30" t="n"/>
      <c r="B191" s="30" t="n"/>
      <c r="C191" s="30" t="n"/>
      <c r="D191" s="30" t="n"/>
      <c r="E191" s="30" t="n"/>
      <c r="F191" s="30" t="n"/>
      <c r="G191" s="30" t="n"/>
      <c r="H191" s="30" t="n"/>
      <c r="I191" s="30" t="n"/>
      <c r="J191" s="31">
        <f>IF(AND(ISNUMBER(F191),ISNUMBER(G191)),(F191*IF(ISNUMBER('CALC-3 Budget'!$D$7),'CALC-3 Budget'!$D$7,'CALC-3 Budget'!$C$7)+G191*IF(ISNUMBER('CALC-3 Budget'!$D$8),'CALC-3 Budget'!$D$8,'CALC-3 Budget'!$C$8))/1000000,"")</f>
        <v/>
      </c>
    </row>
    <row r="192">
      <c r="A192" s="30" t="n"/>
      <c r="B192" s="30" t="n"/>
      <c r="C192" s="30" t="n"/>
      <c r="D192" s="30" t="n"/>
      <c r="E192" s="30" t="n"/>
      <c r="F192" s="30" t="n"/>
      <c r="G192" s="30" t="n"/>
      <c r="H192" s="30" t="n"/>
      <c r="I192" s="30" t="n"/>
      <c r="J192" s="31">
        <f>IF(AND(ISNUMBER(F192),ISNUMBER(G192)),(F192*IF(ISNUMBER('CALC-3 Budget'!$D$7),'CALC-3 Budget'!$D$7,'CALC-3 Budget'!$C$7)+G192*IF(ISNUMBER('CALC-3 Budget'!$D$8),'CALC-3 Budget'!$D$8,'CALC-3 Budget'!$C$8))/1000000,"")</f>
        <v/>
      </c>
    </row>
    <row r="193">
      <c r="A193" s="30" t="n"/>
      <c r="B193" s="30" t="n"/>
      <c r="C193" s="30" t="n"/>
      <c r="D193" s="30" t="n"/>
      <c r="E193" s="30" t="n"/>
      <c r="F193" s="30" t="n"/>
      <c r="G193" s="30" t="n"/>
      <c r="H193" s="30" t="n"/>
      <c r="I193" s="30" t="n"/>
      <c r="J193" s="31">
        <f>IF(AND(ISNUMBER(F193),ISNUMBER(G193)),(F193*IF(ISNUMBER('CALC-3 Budget'!$D$7),'CALC-3 Budget'!$D$7,'CALC-3 Budget'!$C$7)+G193*IF(ISNUMBER('CALC-3 Budget'!$D$8),'CALC-3 Budget'!$D$8,'CALC-3 Budget'!$C$8))/1000000,"")</f>
        <v/>
      </c>
    </row>
    <row r="194">
      <c r="A194" s="30" t="n"/>
      <c r="B194" s="30" t="n"/>
      <c r="C194" s="30" t="n"/>
      <c r="D194" s="30" t="n"/>
      <c r="E194" s="30" t="n"/>
      <c r="F194" s="30" t="n"/>
      <c r="G194" s="30" t="n"/>
      <c r="H194" s="30" t="n"/>
      <c r="I194" s="30" t="n"/>
      <c r="J194" s="31">
        <f>IF(AND(ISNUMBER(F194),ISNUMBER(G194)),(F194*IF(ISNUMBER('CALC-3 Budget'!$D$7),'CALC-3 Budget'!$D$7,'CALC-3 Budget'!$C$7)+G194*IF(ISNUMBER('CALC-3 Budget'!$D$8),'CALC-3 Budget'!$D$8,'CALC-3 Budget'!$C$8))/1000000,"")</f>
        <v/>
      </c>
    </row>
    <row r="195">
      <c r="A195" s="30" t="n"/>
      <c r="B195" s="30" t="n"/>
      <c r="C195" s="30" t="n"/>
      <c r="D195" s="30" t="n"/>
      <c r="E195" s="30" t="n"/>
      <c r="F195" s="30" t="n"/>
      <c r="G195" s="30" t="n"/>
      <c r="H195" s="30" t="n"/>
      <c r="I195" s="30" t="n"/>
      <c r="J195" s="31">
        <f>IF(AND(ISNUMBER(F195),ISNUMBER(G195)),(F195*IF(ISNUMBER('CALC-3 Budget'!$D$7),'CALC-3 Budget'!$D$7,'CALC-3 Budget'!$C$7)+G195*IF(ISNUMBER('CALC-3 Budget'!$D$8),'CALC-3 Budget'!$D$8,'CALC-3 Budget'!$C$8))/1000000,"")</f>
        <v/>
      </c>
    </row>
    <row r="196">
      <c r="A196" s="30" t="n"/>
      <c r="B196" s="30" t="n"/>
      <c r="C196" s="30" t="n"/>
      <c r="D196" s="30" t="n"/>
      <c r="E196" s="30" t="n"/>
      <c r="F196" s="30" t="n"/>
      <c r="G196" s="30" t="n"/>
      <c r="H196" s="30" t="n"/>
      <c r="I196" s="30" t="n"/>
      <c r="J196" s="31">
        <f>IF(AND(ISNUMBER(F196),ISNUMBER(G196)),(F196*IF(ISNUMBER('CALC-3 Budget'!$D$7),'CALC-3 Budget'!$D$7,'CALC-3 Budget'!$C$7)+G196*IF(ISNUMBER('CALC-3 Budget'!$D$8),'CALC-3 Budget'!$D$8,'CALC-3 Budget'!$C$8))/1000000,"")</f>
        <v/>
      </c>
    </row>
    <row r="197">
      <c r="A197" s="30" t="n"/>
      <c r="B197" s="30" t="n"/>
      <c r="C197" s="30" t="n"/>
      <c r="D197" s="30" t="n"/>
      <c r="E197" s="30" t="n"/>
      <c r="F197" s="30" t="n"/>
      <c r="G197" s="30" t="n"/>
      <c r="H197" s="30" t="n"/>
      <c r="I197" s="30" t="n"/>
      <c r="J197" s="31">
        <f>IF(AND(ISNUMBER(F197),ISNUMBER(G197)),(F197*IF(ISNUMBER('CALC-3 Budget'!$D$7),'CALC-3 Budget'!$D$7,'CALC-3 Budget'!$C$7)+G197*IF(ISNUMBER('CALC-3 Budget'!$D$8),'CALC-3 Budget'!$D$8,'CALC-3 Budget'!$C$8))/1000000,"")</f>
        <v/>
      </c>
    </row>
    <row r="198">
      <c r="A198" s="30" t="n"/>
      <c r="B198" s="30" t="n"/>
      <c r="C198" s="30" t="n"/>
      <c r="D198" s="30" t="n"/>
      <c r="E198" s="30" t="n"/>
      <c r="F198" s="30" t="n"/>
      <c r="G198" s="30" t="n"/>
      <c r="H198" s="30" t="n"/>
      <c r="I198" s="30" t="n"/>
      <c r="J198" s="31">
        <f>IF(AND(ISNUMBER(F198),ISNUMBER(G198)),(F198*IF(ISNUMBER('CALC-3 Budget'!$D$7),'CALC-3 Budget'!$D$7,'CALC-3 Budget'!$C$7)+G198*IF(ISNUMBER('CALC-3 Budget'!$D$8),'CALC-3 Budget'!$D$8,'CALC-3 Budget'!$C$8))/1000000,"")</f>
        <v/>
      </c>
    </row>
    <row r="199">
      <c r="A199" s="30" t="n"/>
      <c r="B199" s="30" t="n"/>
      <c r="C199" s="30" t="n"/>
      <c r="D199" s="30" t="n"/>
      <c r="E199" s="30" t="n"/>
      <c r="F199" s="30" t="n"/>
      <c r="G199" s="30" t="n"/>
      <c r="H199" s="30" t="n"/>
      <c r="I199" s="30" t="n"/>
      <c r="J199" s="31">
        <f>IF(AND(ISNUMBER(F199),ISNUMBER(G199)),(F199*IF(ISNUMBER('CALC-3 Budget'!$D$7),'CALC-3 Budget'!$D$7,'CALC-3 Budget'!$C$7)+G199*IF(ISNUMBER('CALC-3 Budget'!$D$8),'CALC-3 Budget'!$D$8,'CALC-3 Budget'!$C$8))/1000000,"")</f>
        <v/>
      </c>
    </row>
    <row r="200">
      <c r="A200" s="30" t="n"/>
      <c r="B200" s="30" t="n"/>
      <c r="C200" s="30" t="n"/>
      <c r="D200" s="30" t="n"/>
      <c r="E200" s="30" t="n"/>
      <c r="F200" s="30" t="n"/>
      <c r="G200" s="30" t="n"/>
      <c r="H200" s="30" t="n"/>
      <c r="I200" s="30" t="n"/>
      <c r="J200" s="31">
        <f>IF(AND(ISNUMBER(F200),ISNUMBER(G200)),(F200*IF(ISNUMBER('CALC-3 Budget'!$D$7),'CALC-3 Budget'!$D$7,'CALC-3 Budget'!$C$7)+G200*IF(ISNUMBER('CALC-3 Budget'!$D$8),'CALC-3 Budget'!$D$8,'CALC-3 Budget'!$C$8))/1000000,"")</f>
        <v/>
      </c>
    </row>
    <row r="201">
      <c r="A201" s="30" t="n"/>
      <c r="B201" s="30" t="n"/>
      <c r="C201" s="30" t="n"/>
      <c r="D201" s="30" t="n"/>
      <c r="E201" s="30" t="n"/>
      <c r="F201" s="30" t="n"/>
      <c r="G201" s="30" t="n"/>
      <c r="H201" s="30" t="n"/>
      <c r="I201" s="30" t="n"/>
      <c r="J201" s="31">
        <f>IF(AND(ISNUMBER(F201),ISNUMBER(G201)),(F201*IF(ISNUMBER('CALC-3 Budget'!$D$7),'CALC-3 Budget'!$D$7,'CALC-3 Budget'!$C$7)+G201*IF(ISNUMBER('CALC-3 Budget'!$D$8),'CALC-3 Budget'!$D$8,'CALC-3 Budget'!$C$8))/1000000,"")</f>
        <v/>
      </c>
    </row>
    <row r="202">
      <c r="A202" s="30" t="n"/>
      <c r="B202" s="30" t="n"/>
      <c r="C202" s="30" t="n"/>
      <c r="D202" s="30" t="n"/>
      <c r="E202" s="30" t="n"/>
      <c r="F202" s="30" t="n"/>
      <c r="G202" s="30" t="n"/>
      <c r="H202" s="30" t="n"/>
      <c r="I202" s="30" t="n"/>
      <c r="J202" s="31">
        <f>IF(AND(ISNUMBER(F202),ISNUMBER(G202)),(F202*IF(ISNUMBER('CALC-3 Budget'!$D$7),'CALC-3 Budget'!$D$7,'CALC-3 Budget'!$C$7)+G202*IF(ISNUMBER('CALC-3 Budget'!$D$8),'CALC-3 Budget'!$D$8,'CALC-3 Budget'!$C$8))/1000000,"")</f>
        <v/>
      </c>
    </row>
    <row r="203">
      <c r="A203" s="30" t="n"/>
      <c r="B203" s="30" t="n"/>
      <c r="C203" s="30" t="n"/>
      <c r="D203" s="30" t="n"/>
      <c r="E203" s="30" t="n"/>
      <c r="F203" s="30" t="n"/>
      <c r="G203" s="30" t="n"/>
      <c r="H203" s="30" t="n"/>
      <c r="I203" s="30" t="n"/>
      <c r="J203" s="31">
        <f>IF(AND(ISNUMBER(F203),ISNUMBER(G203)),(F203*IF(ISNUMBER('CALC-3 Budget'!$D$7),'CALC-3 Budget'!$D$7,'CALC-3 Budget'!$C$7)+G203*IF(ISNUMBER('CALC-3 Budget'!$D$8),'CALC-3 Budget'!$D$8,'CALC-3 Budget'!$C$8))/1000000,"")</f>
        <v/>
      </c>
    </row>
    <row r="204">
      <c r="A204" s="30" t="n"/>
      <c r="B204" s="30" t="n"/>
      <c r="C204" s="30" t="n"/>
      <c r="D204" s="30" t="n"/>
      <c r="E204" s="30" t="n"/>
      <c r="F204" s="30" t="n"/>
      <c r="G204" s="30" t="n"/>
      <c r="H204" s="30" t="n"/>
      <c r="I204" s="30" t="n"/>
      <c r="J204" s="31">
        <f>IF(AND(ISNUMBER(F204),ISNUMBER(G204)),(F204*IF(ISNUMBER('CALC-3 Budget'!$D$7),'CALC-3 Budget'!$D$7,'CALC-3 Budget'!$C$7)+G204*IF(ISNUMBER('CALC-3 Budget'!$D$8),'CALC-3 Budget'!$D$8,'CALC-3 Budget'!$C$8))/1000000,"")</f>
        <v/>
      </c>
    </row>
    <row r="205">
      <c r="A205" s="30" t="n"/>
      <c r="B205" s="30" t="n"/>
      <c r="C205" s="30" t="n"/>
      <c r="D205" s="30" t="n"/>
      <c r="E205" s="30" t="n"/>
      <c r="F205" s="30" t="n"/>
      <c r="G205" s="30" t="n"/>
      <c r="H205" s="30" t="n"/>
      <c r="I205" s="30" t="n"/>
      <c r="J205" s="31">
        <f>IF(AND(ISNUMBER(F205),ISNUMBER(G205)),(F205*IF(ISNUMBER('CALC-3 Budget'!$D$7),'CALC-3 Budget'!$D$7,'CALC-3 Budget'!$C$7)+G205*IF(ISNUMBER('CALC-3 Budget'!$D$8),'CALC-3 Budget'!$D$8,'CALC-3 Budget'!$C$8))/1000000,"")</f>
        <v/>
      </c>
    </row>
    <row r="206">
      <c r="A206" s="30" t="n"/>
      <c r="B206" s="30" t="n"/>
      <c r="C206" s="30" t="n"/>
      <c r="D206" s="30" t="n"/>
      <c r="E206" s="30" t="n"/>
      <c r="F206" s="30" t="n"/>
      <c r="G206" s="30" t="n"/>
      <c r="H206" s="30" t="n"/>
      <c r="I206" s="30" t="n"/>
      <c r="J206" s="31">
        <f>IF(AND(ISNUMBER(F206),ISNUMBER(G206)),(F206*IF(ISNUMBER('CALC-3 Budget'!$D$7),'CALC-3 Budget'!$D$7,'CALC-3 Budget'!$C$7)+G206*IF(ISNUMBER('CALC-3 Budget'!$D$8),'CALC-3 Budget'!$D$8,'CALC-3 Budget'!$C$8))/1000000,"")</f>
        <v/>
      </c>
    </row>
    <row r="207">
      <c r="A207" s="30" t="n"/>
      <c r="B207" s="30" t="n"/>
      <c r="C207" s="30" t="n"/>
      <c r="D207" s="30" t="n"/>
      <c r="E207" s="30" t="n"/>
      <c r="F207" s="30" t="n"/>
      <c r="G207" s="30" t="n"/>
      <c r="H207" s="30" t="n"/>
      <c r="I207" s="30" t="n"/>
      <c r="J207" s="31">
        <f>IF(AND(ISNUMBER(F207),ISNUMBER(G207)),(F207*IF(ISNUMBER('CALC-3 Budget'!$D$7),'CALC-3 Budget'!$D$7,'CALC-3 Budget'!$C$7)+G207*IF(ISNUMBER('CALC-3 Budget'!$D$8),'CALC-3 Budget'!$D$8,'CALC-3 Budget'!$C$8))/1000000,"")</f>
        <v/>
      </c>
    </row>
    <row r="208">
      <c r="A208" s="30" t="n"/>
      <c r="B208" s="30" t="n"/>
      <c r="C208" s="30" t="n"/>
      <c r="D208" s="30" t="n"/>
      <c r="E208" s="30" t="n"/>
      <c r="F208" s="30" t="n"/>
      <c r="G208" s="30" t="n"/>
      <c r="H208" s="30" t="n"/>
      <c r="I208" s="30" t="n"/>
      <c r="J208" s="31">
        <f>IF(AND(ISNUMBER(F208),ISNUMBER(G208)),(F208*IF(ISNUMBER('CALC-3 Budget'!$D$7),'CALC-3 Budget'!$D$7,'CALC-3 Budget'!$C$7)+G208*IF(ISNUMBER('CALC-3 Budget'!$D$8),'CALC-3 Budget'!$D$8,'CALC-3 Budget'!$C$8))/1000000,"")</f>
        <v/>
      </c>
    </row>
    <row r="209">
      <c r="A209" s="30" t="n"/>
      <c r="B209" s="30" t="n"/>
      <c r="C209" s="30" t="n"/>
      <c r="D209" s="30" t="n"/>
      <c r="E209" s="30" t="n"/>
      <c r="F209" s="30" t="n"/>
      <c r="G209" s="30" t="n"/>
      <c r="H209" s="30" t="n"/>
      <c r="I209" s="30" t="n"/>
      <c r="J209" s="31">
        <f>IF(AND(ISNUMBER(F209),ISNUMBER(G209)),(F209*IF(ISNUMBER('CALC-3 Budget'!$D$7),'CALC-3 Budget'!$D$7,'CALC-3 Budget'!$C$7)+G209*IF(ISNUMBER('CALC-3 Budget'!$D$8),'CALC-3 Budget'!$D$8,'CALC-3 Budget'!$C$8))/1000000,"")</f>
        <v/>
      </c>
    </row>
    <row r="210">
      <c r="A210" s="30" t="n"/>
      <c r="B210" s="30" t="n"/>
      <c r="C210" s="30" t="n"/>
      <c r="D210" s="30" t="n"/>
      <c r="E210" s="30" t="n"/>
      <c r="F210" s="30" t="n"/>
      <c r="G210" s="30" t="n"/>
      <c r="H210" s="30" t="n"/>
      <c r="I210" s="30" t="n"/>
      <c r="J210" s="31">
        <f>IF(AND(ISNUMBER(F210),ISNUMBER(G210)),(F210*IF(ISNUMBER('CALC-3 Budget'!$D$7),'CALC-3 Budget'!$D$7,'CALC-3 Budget'!$C$7)+G210*IF(ISNUMBER('CALC-3 Budget'!$D$8),'CALC-3 Budget'!$D$8,'CALC-3 Budget'!$C$8))/1000000,"")</f>
        <v/>
      </c>
    </row>
    <row r="211">
      <c r="A211" s="30" t="n"/>
      <c r="B211" s="30" t="n"/>
      <c r="C211" s="30" t="n"/>
      <c r="D211" s="30" t="n"/>
      <c r="E211" s="30" t="n"/>
      <c r="F211" s="30" t="n"/>
      <c r="G211" s="30" t="n"/>
      <c r="H211" s="30" t="n"/>
      <c r="I211" s="30" t="n"/>
      <c r="J211" s="31">
        <f>IF(AND(ISNUMBER(F211),ISNUMBER(G211)),(F211*IF(ISNUMBER('CALC-3 Budget'!$D$7),'CALC-3 Budget'!$D$7,'CALC-3 Budget'!$C$7)+G211*IF(ISNUMBER('CALC-3 Budget'!$D$8),'CALC-3 Budget'!$D$8,'CALC-3 Budget'!$C$8))/1000000,"")</f>
        <v/>
      </c>
    </row>
    <row r="212">
      <c r="A212" s="30" t="n"/>
      <c r="B212" s="30" t="n"/>
      <c r="C212" s="30" t="n"/>
      <c r="D212" s="30" t="n"/>
      <c r="E212" s="30" t="n"/>
      <c r="F212" s="30" t="n"/>
      <c r="G212" s="30" t="n"/>
      <c r="H212" s="30" t="n"/>
      <c r="I212" s="30" t="n"/>
      <c r="J212" s="31">
        <f>IF(AND(ISNUMBER(F212),ISNUMBER(G212)),(F212*IF(ISNUMBER('CALC-3 Budget'!$D$7),'CALC-3 Budget'!$D$7,'CALC-3 Budget'!$C$7)+G212*IF(ISNUMBER('CALC-3 Budget'!$D$8),'CALC-3 Budget'!$D$8,'CALC-3 Budget'!$C$8))/1000000,"")</f>
        <v/>
      </c>
    </row>
    <row r="213">
      <c r="A213" s="30" t="n"/>
      <c r="B213" s="30" t="n"/>
      <c r="C213" s="30" t="n"/>
      <c r="D213" s="30" t="n"/>
      <c r="E213" s="30" t="n"/>
      <c r="F213" s="30" t="n"/>
      <c r="G213" s="30" t="n"/>
      <c r="H213" s="30" t="n"/>
      <c r="I213" s="30" t="n"/>
      <c r="J213" s="31">
        <f>IF(AND(ISNUMBER(F213),ISNUMBER(G213)),(F213*IF(ISNUMBER('CALC-3 Budget'!$D$7),'CALC-3 Budget'!$D$7,'CALC-3 Budget'!$C$7)+G213*IF(ISNUMBER('CALC-3 Budget'!$D$8),'CALC-3 Budget'!$D$8,'CALC-3 Budget'!$C$8))/1000000,"")</f>
        <v/>
      </c>
    </row>
    <row r="214">
      <c r="A214" s="30" t="n"/>
      <c r="B214" s="30" t="n"/>
      <c r="C214" s="30" t="n"/>
      <c r="D214" s="30" t="n"/>
      <c r="E214" s="30" t="n"/>
      <c r="F214" s="30" t="n"/>
      <c r="G214" s="30" t="n"/>
      <c r="H214" s="30" t="n"/>
      <c r="I214" s="30" t="n"/>
      <c r="J214" s="31">
        <f>IF(AND(ISNUMBER(F214),ISNUMBER(G214)),(F214*IF(ISNUMBER('CALC-3 Budget'!$D$7),'CALC-3 Budget'!$D$7,'CALC-3 Budget'!$C$7)+G214*IF(ISNUMBER('CALC-3 Budget'!$D$8),'CALC-3 Budget'!$D$8,'CALC-3 Budget'!$C$8))/1000000,"")</f>
        <v/>
      </c>
    </row>
    <row r="215">
      <c r="A215" s="30" t="n"/>
      <c r="B215" s="30" t="n"/>
      <c r="C215" s="30" t="n"/>
      <c r="D215" s="30" t="n"/>
      <c r="E215" s="30" t="n"/>
      <c r="F215" s="30" t="n"/>
      <c r="G215" s="30" t="n"/>
      <c r="H215" s="30" t="n"/>
      <c r="I215" s="30" t="n"/>
      <c r="J215" s="31">
        <f>IF(AND(ISNUMBER(F215),ISNUMBER(G215)),(F215*IF(ISNUMBER('CALC-3 Budget'!$D$7),'CALC-3 Budget'!$D$7,'CALC-3 Budget'!$C$7)+G215*IF(ISNUMBER('CALC-3 Budget'!$D$8),'CALC-3 Budget'!$D$8,'CALC-3 Budget'!$C$8))/1000000,"")</f>
        <v/>
      </c>
    </row>
    <row r="216">
      <c r="A216" s="30" t="n"/>
      <c r="B216" s="30" t="n"/>
      <c r="C216" s="30" t="n"/>
      <c r="D216" s="30" t="n"/>
      <c r="E216" s="30" t="n"/>
      <c r="F216" s="30" t="n"/>
      <c r="G216" s="30" t="n"/>
      <c r="H216" s="30" t="n"/>
      <c r="I216" s="30" t="n"/>
      <c r="J216" s="31">
        <f>IF(AND(ISNUMBER(F216),ISNUMBER(G216)),(F216*IF(ISNUMBER('CALC-3 Budget'!$D$7),'CALC-3 Budget'!$D$7,'CALC-3 Budget'!$C$7)+G216*IF(ISNUMBER('CALC-3 Budget'!$D$8),'CALC-3 Budget'!$D$8,'CALC-3 Budget'!$C$8))/1000000,"")</f>
        <v/>
      </c>
    </row>
    <row r="217">
      <c r="A217" s="30" t="n"/>
      <c r="B217" s="30" t="n"/>
      <c r="C217" s="30" t="n"/>
      <c r="D217" s="30" t="n"/>
      <c r="E217" s="30" t="n"/>
      <c r="F217" s="30" t="n"/>
      <c r="G217" s="30" t="n"/>
      <c r="H217" s="30" t="n"/>
      <c r="I217" s="30" t="n"/>
      <c r="J217" s="31">
        <f>IF(AND(ISNUMBER(F217),ISNUMBER(G217)),(F217*IF(ISNUMBER('CALC-3 Budget'!$D$7),'CALC-3 Budget'!$D$7,'CALC-3 Budget'!$C$7)+G217*IF(ISNUMBER('CALC-3 Budget'!$D$8),'CALC-3 Budget'!$D$8,'CALC-3 Budget'!$C$8))/1000000,"")</f>
        <v/>
      </c>
    </row>
    <row r="218">
      <c r="A218" s="30" t="n"/>
      <c r="B218" s="30" t="n"/>
      <c r="C218" s="30" t="n"/>
      <c r="D218" s="30" t="n"/>
      <c r="E218" s="30" t="n"/>
      <c r="F218" s="30" t="n"/>
      <c r="G218" s="30" t="n"/>
      <c r="H218" s="30" t="n"/>
      <c r="I218" s="30" t="n"/>
      <c r="J218" s="31">
        <f>IF(AND(ISNUMBER(F218),ISNUMBER(G218)),(F218*IF(ISNUMBER('CALC-3 Budget'!$D$7),'CALC-3 Budget'!$D$7,'CALC-3 Budget'!$C$7)+G218*IF(ISNUMBER('CALC-3 Budget'!$D$8),'CALC-3 Budget'!$D$8,'CALC-3 Budget'!$C$8))/1000000,"")</f>
        <v/>
      </c>
    </row>
    <row r="219">
      <c r="A219" s="30" t="n"/>
      <c r="B219" s="30" t="n"/>
      <c r="C219" s="30" t="n"/>
      <c r="D219" s="30" t="n"/>
      <c r="E219" s="30" t="n"/>
      <c r="F219" s="30" t="n"/>
      <c r="G219" s="30" t="n"/>
      <c r="H219" s="30" t="n"/>
      <c r="I219" s="30" t="n"/>
      <c r="J219" s="31">
        <f>IF(AND(ISNUMBER(F219),ISNUMBER(G219)),(F219*IF(ISNUMBER('CALC-3 Budget'!$D$7),'CALC-3 Budget'!$D$7,'CALC-3 Budget'!$C$7)+G219*IF(ISNUMBER('CALC-3 Budget'!$D$8),'CALC-3 Budget'!$D$8,'CALC-3 Budget'!$C$8))/1000000,"")</f>
        <v/>
      </c>
    </row>
    <row r="220">
      <c r="A220" s="30" t="n"/>
      <c r="B220" s="30" t="n"/>
      <c r="C220" s="30" t="n"/>
      <c r="D220" s="30" t="n"/>
      <c r="E220" s="30" t="n"/>
      <c r="F220" s="30" t="n"/>
      <c r="G220" s="30" t="n"/>
      <c r="H220" s="30" t="n"/>
      <c r="I220" s="30" t="n"/>
      <c r="J220" s="31">
        <f>IF(AND(ISNUMBER(F220),ISNUMBER(G220)),(F220*IF(ISNUMBER('CALC-3 Budget'!$D$7),'CALC-3 Budget'!$D$7,'CALC-3 Budget'!$C$7)+G220*IF(ISNUMBER('CALC-3 Budget'!$D$8),'CALC-3 Budget'!$D$8,'CALC-3 Budget'!$C$8))/1000000,"")</f>
        <v/>
      </c>
    </row>
    <row r="221">
      <c r="A221" s="30" t="n"/>
      <c r="B221" s="30" t="n"/>
      <c r="C221" s="30" t="n"/>
      <c r="D221" s="30" t="n"/>
      <c r="E221" s="30" t="n"/>
      <c r="F221" s="30" t="n"/>
      <c r="G221" s="30" t="n"/>
      <c r="H221" s="30" t="n"/>
      <c r="I221" s="30" t="n"/>
      <c r="J221" s="31">
        <f>IF(AND(ISNUMBER(F221),ISNUMBER(G221)),(F221*IF(ISNUMBER('CALC-3 Budget'!$D$7),'CALC-3 Budget'!$D$7,'CALC-3 Budget'!$C$7)+G221*IF(ISNUMBER('CALC-3 Budget'!$D$8),'CALC-3 Budget'!$D$8,'CALC-3 Budget'!$C$8))/1000000,"")</f>
        <v/>
      </c>
    </row>
    <row r="222">
      <c r="A222" s="30" t="n"/>
      <c r="B222" s="30" t="n"/>
      <c r="C222" s="30" t="n"/>
      <c r="D222" s="30" t="n"/>
      <c r="E222" s="30" t="n"/>
      <c r="F222" s="30" t="n"/>
      <c r="G222" s="30" t="n"/>
      <c r="H222" s="30" t="n"/>
      <c r="I222" s="30" t="n"/>
      <c r="J222" s="31">
        <f>IF(AND(ISNUMBER(F222),ISNUMBER(G222)),(F222*IF(ISNUMBER('CALC-3 Budget'!$D$7),'CALC-3 Budget'!$D$7,'CALC-3 Budget'!$C$7)+G222*IF(ISNUMBER('CALC-3 Budget'!$D$8),'CALC-3 Budget'!$D$8,'CALC-3 Budget'!$C$8))/1000000,"")</f>
        <v/>
      </c>
    </row>
    <row r="223">
      <c r="A223" s="30" t="n"/>
      <c r="B223" s="30" t="n"/>
      <c r="C223" s="30" t="n"/>
      <c r="D223" s="30" t="n"/>
      <c r="E223" s="30" t="n"/>
      <c r="F223" s="30" t="n"/>
      <c r="G223" s="30" t="n"/>
      <c r="H223" s="30" t="n"/>
      <c r="I223" s="30" t="n"/>
      <c r="J223" s="31">
        <f>IF(AND(ISNUMBER(F223),ISNUMBER(G223)),(F223*IF(ISNUMBER('CALC-3 Budget'!$D$7),'CALC-3 Budget'!$D$7,'CALC-3 Budget'!$C$7)+G223*IF(ISNUMBER('CALC-3 Budget'!$D$8),'CALC-3 Budget'!$D$8,'CALC-3 Budget'!$C$8))/1000000,"")</f>
        <v/>
      </c>
    </row>
    <row r="224">
      <c r="A224" s="30" t="n"/>
      <c r="B224" s="30" t="n"/>
      <c r="C224" s="30" t="n"/>
      <c r="D224" s="30" t="n"/>
      <c r="E224" s="30" t="n"/>
      <c r="F224" s="30" t="n"/>
      <c r="G224" s="30" t="n"/>
      <c r="H224" s="30" t="n"/>
      <c r="I224" s="30" t="n"/>
      <c r="J224" s="31">
        <f>IF(AND(ISNUMBER(F224),ISNUMBER(G224)),(F224*IF(ISNUMBER('CALC-3 Budget'!$D$7),'CALC-3 Budget'!$D$7,'CALC-3 Budget'!$C$7)+G224*IF(ISNUMBER('CALC-3 Budget'!$D$8),'CALC-3 Budget'!$D$8,'CALC-3 Budget'!$C$8))/1000000,"")</f>
        <v/>
      </c>
    </row>
    <row r="225">
      <c r="A225" s="30" t="n"/>
      <c r="B225" s="30" t="n"/>
      <c r="C225" s="30" t="n"/>
      <c r="D225" s="30" t="n"/>
      <c r="E225" s="30" t="n"/>
      <c r="F225" s="30" t="n"/>
      <c r="G225" s="30" t="n"/>
      <c r="H225" s="30" t="n"/>
      <c r="I225" s="30" t="n"/>
      <c r="J225" s="31">
        <f>IF(AND(ISNUMBER(F225),ISNUMBER(G225)),(F225*IF(ISNUMBER('CALC-3 Budget'!$D$7),'CALC-3 Budget'!$D$7,'CALC-3 Budget'!$C$7)+G225*IF(ISNUMBER('CALC-3 Budget'!$D$8),'CALC-3 Budget'!$D$8,'CALC-3 Budget'!$C$8))/1000000,"")</f>
        <v/>
      </c>
    </row>
    <row r="226">
      <c r="A226" s="30" t="n"/>
      <c r="B226" s="30" t="n"/>
      <c r="C226" s="30" t="n"/>
      <c r="D226" s="30" t="n"/>
      <c r="E226" s="30" t="n"/>
      <c r="F226" s="30" t="n"/>
      <c r="G226" s="30" t="n"/>
      <c r="H226" s="30" t="n"/>
      <c r="I226" s="30" t="n"/>
      <c r="J226" s="31">
        <f>IF(AND(ISNUMBER(F226),ISNUMBER(G226)),(F226*IF(ISNUMBER('CALC-3 Budget'!$D$7),'CALC-3 Budget'!$D$7,'CALC-3 Budget'!$C$7)+G226*IF(ISNUMBER('CALC-3 Budget'!$D$8),'CALC-3 Budget'!$D$8,'CALC-3 Budget'!$C$8))/1000000,"")</f>
        <v/>
      </c>
    </row>
    <row r="227">
      <c r="A227" s="30" t="n"/>
      <c r="B227" s="30" t="n"/>
      <c r="C227" s="30" t="n"/>
      <c r="D227" s="30" t="n"/>
      <c r="E227" s="30" t="n"/>
      <c r="F227" s="30" t="n"/>
      <c r="G227" s="30" t="n"/>
      <c r="H227" s="30" t="n"/>
      <c r="I227" s="30" t="n"/>
      <c r="J227" s="31">
        <f>IF(AND(ISNUMBER(F227),ISNUMBER(G227)),(F227*IF(ISNUMBER('CALC-3 Budget'!$D$7),'CALC-3 Budget'!$D$7,'CALC-3 Budget'!$C$7)+G227*IF(ISNUMBER('CALC-3 Budget'!$D$8),'CALC-3 Budget'!$D$8,'CALC-3 Budget'!$C$8))/1000000,"")</f>
        <v/>
      </c>
    </row>
    <row r="228">
      <c r="A228" s="30" t="n"/>
      <c r="B228" s="30" t="n"/>
      <c r="C228" s="30" t="n"/>
      <c r="D228" s="30" t="n"/>
      <c r="E228" s="30" t="n"/>
      <c r="F228" s="30" t="n"/>
      <c r="G228" s="30" t="n"/>
      <c r="H228" s="30" t="n"/>
      <c r="I228" s="30" t="n"/>
      <c r="J228" s="31">
        <f>IF(AND(ISNUMBER(F228),ISNUMBER(G228)),(F228*IF(ISNUMBER('CALC-3 Budget'!$D$7),'CALC-3 Budget'!$D$7,'CALC-3 Budget'!$C$7)+G228*IF(ISNUMBER('CALC-3 Budget'!$D$8),'CALC-3 Budget'!$D$8,'CALC-3 Budget'!$C$8))/1000000,"")</f>
        <v/>
      </c>
    </row>
    <row r="229">
      <c r="A229" s="30" t="n"/>
      <c r="B229" s="30" t="n"/>
      <c r="C229" s="30" t="n"/>
      <c r="D229" s="30" t="n"/>
      <c r="E229" s="30" t="n"/>
      <c r="F229" s="30" t="n"/>
      <c r="G229" s="30" t="n"/>
      <c r="H229" s="30" t="n"/>
      <c r="I229" s="30" t="n"/>
      <c r="J229" s="31">
        <f>IF(AND(ISNUMBER(F229),ISNUMBER(G229)),(F229*IF(ISNUMBER('CALC-3 Budget'!$D$7),'CALC-3 Budget'!$D$7,'CALC-3 Budget'!$C$7)+G229*IF(ISNUMBER('CALC-3 Budget'!$D$8),'CALC-3 Budget'!$D$8,'CALC-3 Budget'!$C$8))/1000000,"")</f>
        <v/>
      </c>
    </row>
    <row r="230">
      <c r="A230" s="30" t="n"/>
      <c r="B230" s="30" t="n"/>
      <c r="C230" s="30" t="n"/>
      <c r="D230" s="30" t="n"/>
      <c r="E230" s="30" t="n"/>
      <c r="F230" s="30" t="n"/>
      <c r="G230" s="30" t="n"/>
      <c r="H230" s="30" t="n"/>
      <c r="I230" s="30" t="n"/>
      <c r="J230" s="31">
        <f>IF(AND(ISNUMBER(F230),ISNUMBER(G230)),(F230*IF(ISNUMBER('CALC-3 Budget'!$D$7),'CALC-3 Budget'!$D$7,'CALC-3 Budget'!$C$7)+G230*IF(ISNUMBER('CALC-3 Budget'!$D$8),'CALC-3 Budget'!$D$8,'CALC-3 Budget'!$C$8))/1000000,"")</f>
        <v/>
      </c>
    </row>
    <row r="231">
      <c r="A231" s="30" t="n"/>
      <c r="B231" s="30" t="n"/>
      <c r="C231" s="30" t="n"/>
      <c r="D231" s="30" t="n"/>
      <c r="E231" s="30" t="n"/>
      <c r="F231" s="30" t="n"/>
      <c r="G231" s="30" t="n"/>
      <c r="H231" s="30" t="n"/>
      <c r="I231" s="30" t="n"/>
      <c r="J231" s="31">
        <f>IF(AND(ISNUMBER(F231),ISNUMBER(G231)),(F231*IF(ISNUMBER('CALC-3 Budget'!$D$7),'CALC-3 Budget'!$D$7,'CALC-3 Budget'!$C$7)+G231*IF(ISNUMBER('CALC-3 Budget'!$D$8),'CALC-3 Budget'!$D$8,'CALC-3 Budget'!$C$8))/1000000,"")</f>
        <v/>
      </c>
    </row>
    <row r="232">
      <c r="A232" s="30" t="n"/>
      <c r="B232" s="30" t="n"/>
      <c r="C232" s="30" t="n"/>
      <c r="D232" s="30" t="n"/>
      <c r="E232" s="30" t="n"/>
      <c r="F232" s="30" t="n"/>
      <c r="G232" s="30" t="n"/>
      <c r="H232" s="30" t="n"/>
      <c r="I232" s="30" t="n"/>
      <c r="J232" s="31">
        <f>IF(AND(ISNUMBER(F232),ISNUMBER(G232)),(F232*IF(ISNUMBER('CALC-3 Budget'!$D$7),'CALC-3 Budget'!$D$7,'CALC-3 Budget'!$C$7)+G232*IF(ISNUMBER('CALC-3 Budget'!$D$8),'CALC-3 Budget'!$D$8,'CALC-3 Budget'!$C$8))/1000000,"")</f>
        <v/>
      </c>
    </row>
    <row r="233">
      <c r="A233" s="30" t="n"/>
      <c r="B233" s="30" t="n"/>
      <c r="C233" s="30" t="n"/>
      <c r="D233" s="30" t="n"/>
      <c r="E233" s="30" t="n"/>
      <c r="F233" s="30" t="n"/>
      <c r="G233" s="30" t="n"/>
      <c r="H233" s="30" t="n"/>
      <c r="I233" s="30" t="n"/>
      <c r="J233" s="31">
        <f>IF(AND(ISNUMBER(F233),ISNUMBER(G233)),(F233*IF(ISNUMBER('CALC-3 Budget'!$D$7),'CALC-3 Budget'!$D$7,'CALC-3 Budget'!$C$7)+G233*IF(ISNUMBER('CALC-3 Budget'!$D$8),'CALC-3 Budget'!$D$8,'CALC-3 Budget'!$C$8))/1000000,"")</f>
        <v/>
      </c>
    </row>
    <row r="234">
      <c r="A234" s="30" t="n"/>
      <c r="B234" s="30" t="n"/>
      <c r="C234" s="30" t="n"/>
      <c r="D234" s="30" t="n"/>
      <c r="E234" s="30" t="n"/>
      <c r="F234" s="30" t="n"/>
      <c r="G234" s="30" t="n"/>
      <c r="H234" s="30" t="n"/>
      <c r="I234" s="30" t="n"/>
      <c r="J234" s="31">
        <f>IF(AND(ISNUMBER(F234),ISNUMBER(G234)),(F234*IF(ISNUMBER('CALC-3 Budget'!$D$7),'CALC-3 Budget'!$D$7,'CALC-3 Budget'!$C$7)+G234*IF(ISNUMBER('CALC-3 Budget'!$D$8),'CALC-3 Budget'!$D$8,'CALC-3 Budget'!$C$8))/1000000,"")</f>
        <v/>
      </c>
    </row>
    <row r="235">
      <c r="A235" s="30" t="n"/>
      <c r="B235" s="30" t="n"/>
      <c r="C235" s="30" t="n"/>
      <c r="D235" s="30" t="n"/>
      <c r="E235" s="30" t="n"/>
      <c r="F235" s="30" t="n"/>
      <c r="G235" s="30" t="n"/>
      <c r="H235" s="30" t="n"/>
      <c r="I235" s="30" t="n"/>
      <c r="J235" s="31">
        <f>IF(AND(ISNUMBER(F235),ISNUMBER(G235)),(F235*IF(ISNUMBER('CALC-3 Budget'!$D$7),'CALC-3 Budget'!$D$7,'CALC-3 Budget'!$C$7)+G235*IF(ISNUMBER('CALC-3 Budget'!$D$8),'CALC-3 Budget'!$D$8,'CALC-3 Budget'!$C$8))/1000000,"")</f>
        <v/>
      </c>
    </row>
    <row r="236">
      <c r="A236" s="30" t="n"/>
      <c r="B236" s="30" t="n"/>
      <c r="C236" s="30" t="n"/>
      <c r="D236" s="30" t="n"/>
      <c r="E236" s="30" t="n"/>
      <c r="F236" s="30" t="n"/>
      <c r="G236" s="30" t="n"/>
      <c r="H236" s="30" t="n"/>
      <c r="I236" s="30" t="n"/>
      <c r="J236" s="31">
        <f>IF(AND(ISNUMBER(F236),ISNUMBER(G236)),(F236*IF(ISNUMBER('CALC-3 Budget'!$D$7),'CALC-3 Budget'!$D$7,'CALC-3 Budget'!$C$7)+G236*IF(ISNUMBER('CALC-3 Budget'!$D$8),'CALC-3 Budget'!$D$8,'CALC-3 Budget'!$C$8))/1000000,"")</f>
        <v/>
      </c>
    </row>
    <row r="237">
      <c r="A237" s="30" t="n"/>
      <c r="B237" s="30" t="n"/>
      <c r="C237" s="30" t="n"/>
      <c r="D237" s="30" t="n"/>
      <c r="E237" s="30" t="n"/>
      <c r="F237" s="30" t="n"/>
      <c r="G237" s="30" t="n"/>
      <c r="H237" s="30" t="n"/>
      <c r="I237" s="30" t="n"/>
      <c r="J237" s="31">
        <f>IF(AND(ISNUMBER(F237),ISNUMBER(G237)),(F237*IF(ISNUMBER('CALC-3 Budget'!$D$7),'CALC-3 Budget'!$D$7,'CALC-3 Budget'!$C$7)+G237*IF(ISNUMBER('CALC-3 Budget'!$D$8),'CALC-3 Budget'!$D$8,'CALC-3 Budget'!$C$8))/1000000,"")</f>
        <v/>
      </c>
    </row>
    <row r="238">
      <c r="A238" s="30" t="n"/>
      <c r="B238" s="30" t="n"/>
      <c r="C238" s="30" t="n"/>
      <c r="D238" s="30" t="n"/>
      <c r="E238" s="30" t="n"/>
      <c r="F238" s="30" t="n"/>
      <c r="G238" s="30" t="n"/>
      <c r="H238" s="30" t="n"/>
      <c r="I238" s="30" t="n"/>
      <c r="J238" s="31">
        <f>IF(AND(ISNUMBER(F238),ISNUMBER(G238)),(F238*IF(ISNUMBER('CALC-3 Budget'!$D$7),'CALC-3 Budget'!$D$7,'CALC-3 Budget'!$C$7)+G238*IF(ISNUMBER('CALC-3 Budget'!$D$8),'CALC-3 Budget'!$D$8,'CALC-3 Budget'!$C$8))/1000000,"")</f>
        <v/>
      </c>
    </row>
    <row r="239">
      <c r="A239" s="30" t="n"/>
      <c r="B239" s="30" t="n"/>
      <c r="C239" s="30" t="n"/>
      <c r="D239" s="30" t="n"/>
      <c r="E239" s="30" t="n"/>
      <c r="F239" s="30" t="n"/>
      <c r="G239" s="30" t="n"/>
      <c r="H239" s="30" t="n"/>
      <c r="I239" s="30" t="n"/>
      <c r="J239" s="31">
        <f>IF(AND(ISNUMBER(F239),ISNUMBER(G239)),(F239*IF(ISNUMBER('CALC-3 Budget'!$D$7),'CALC-3 Budget'!$D$7,'CALC-3 Budget'!$C$7)+G239*IF(ISNUMBER('CALC-3 Budget'!$D$8),'CALC-3 Budget'!$D$8,'CALC-3 Budget'!$C$8))/1000000,"")</f>
        <v/>
      </c>
    </row>
    <row r="240">
      <c r="A240" s="30" t="n"/>
      <c r="B240" s="30" t="n"/>
      <c r="C240" s="30" t="n"/>
      <c r="D240" s="30" t="n"/>
      <c r="E240" s="30" t="n"/>
      <c r="F240" s="30" t="n"/>
      <c r="G240" s="30" t="n"/>
      <c r="H240" s="30" t="n"/>
      <c r="I240" s="30" t="n"/>
      <c r="J240" s="31">
        <f>IF(AND(ISNUMBER(F240),ISNUMBER(G240)),(F240*IF(ISNUMBER('CALC-3 Budget'!$D$7),'CALC-3 Budget'!$D$7,'CALC-3 Budget'!$C$7)+G240*IF(ISNUMBER('CALC-3 Budget'!$D$8),'CALC-3 Budget'!$D$8,'CALC-3 Budget'!$C$8))/1000000,"")</f>
        <v/>
      </c>
    </row>
    <row r="241">
      <c r="A241" s="30" t="n"/>
      <c r="B241" s="30" t="n"/>
      <c r="C241" s="30" t="n"/>
      <c r="D241" s="30" t="n"/>
      <c r="E241" s="30" t="n"/>
      <c r="F241" s="30" t="n"/>
      <c r="G241" s="30" t="n"/>
      <c r="H241" s="30" t="n"/>
      <c r="I241" s="30" t="n"/>
      <c r="J241" s="31">
        <f>IF(AND(ISNUMBER(F241),ISNUMBER(G241)),(F241*IF(ISNUMBER('CALC-3 Budget'!$D$7),'CALC-3 Budget'!$D$7,'CALC-3 Budget'!$C$7)+G241*IF(ISNUMBER('CALC-3 Budget'!$D$8),'CALC-3 Budget'!$D$8,'CALC-3 Budget'!$C$8))/1000000,"")</f>
        <v/>
      </c>
    </row>
    <row r="242">
      <c r="A242" s="30" t="n"/>
      <c r="B242" s="30" t="n"/>
      <c r="C242" s="30" t="n"/>
      <c r="D242" s="30" t="n"/>
      <c r="E242" s="30" t="n"/>
      <c r="F242" s="30" t="n"/>
      <c r="G242" s="30" t="n"/>
      <c r="H242" s="30" t="n"/>
      <c r="I242" s="30" t="n"/>
      <c r="J242" s="31">
        <f>IF(AND(ISNUMBER(F242),ISNUMBER(G242)),(F242*IF(ISNUMBER('CALC-3 Budget'!$D$7),'CALC-3 Budget'!$D$7,'CALC-3 Budget'!$C$7)+G242*IF(ISNUMBER('CALC-3 Budget'!$D$8),'CALC-3 Budget'!$D$8,'CALC-3 Budget'!$C$8))/1000000,"")</f>
        <v/>
      </c>
    </row>
    <row r="243">
      <c r="A243" s="30" t="n"/>
      <c r="B243" s="30" t="n"/>
      <c r="C243" s="30" t="n"/>
      <c r="D243" s="30" t="n"/>
      <c r="E243" s="30" t="n"/>
      <c r="F243" s="30" t="n"/>
      <c r="G243" s="30" t="n"/>
      <c r="H243" s="30" t="n"/>
      <c r="I243" s="30" t="n"/>
      <c r="J243" s="31">
        <f>IF(AND(ISNUMBER(F243),ISNUMBER(G243)),(F243*IF(ISNUMBER('CALC-3 Budget'!$D$7),'CALC-3 Budget'!$D$7,'CALC-3 Budget'!$C$7)+G243*IF(ISNUMBER('CALC-3 Budget'!$D$8),'CALC-3 Budget'!$D$8,'CALC-3 Budget'!$C$8))/1000000,"")</f>
        <v/>
      </c>
    </row>
    <row r="244">
      <c r="A244" s="30" t="n"/>
      <c r="B244" s="30" t="n"/>
      <c r="C244" s="30" t="n"/>
      <c r="D244" s="30" t="n"/>
      <c r="E244" s="30" t="n"/>
      <c r="F244" s="30" t="n"/>
      <c r="G244" s="30" t="n"/>
      <c r="H244" s="30" t="n"/>
      <c r="I244" s="30" t="n"/>
      <c r="J244" s="31">
        <f>IF(AND(ISNUMBER(F244),ISNUMBER(G244)),(F244*IF(ISNUMBER('CALC-3 Budget'!$D$7),'CALC-3 Budget'!$D$7,'CALC-3 Budget'!$C$7)+G244*IF(ISNUMBER('CALC-3 Budget'!$D$8),'CALC-3 Budget'!$D$8,'CALC-3 Budget'!$C$8))/1000000,"")</f>
        <v/>
      </c>
    </row>
    <row r="245">
      <c r="A245" s="30" t="n"/>
      <c r="B245" s="30" t="n"/>
      <c r="C245" s="30" t="n"/>
      <c r="D245" s="30" t="n"/>
      <c r="E245" s="30" t="n"/>
      <c r="F245" s="30" t="n"/>
      <c r="G245" s="30" t="n"/>
      <c r="H245" s="30" t="n"/>
      <c r="I245" s="30" t="n"/>
      <c r="J245" s="31">
        <f>IF(AND(ISNUMBER(F245),ISNUMBER(G245)),(F245*IF(ISNUMBER('CALC-3 Budget'!$D$7),'CALC-3 Budget'!$D$7,'CALC-3 Budget'!$C$7)+G245*IF(ISNUMBER('CALC-3 Budget'!$D$8),'CALC-3 Budget'!$D$8,'CALC-3 Budget'!$C$8))/1000000,"")</f>
        <v/>
      </c>
    </row>
    <row r="246">
      <c r="A246" s="30" t="n"/>
      <c r="B246" s="30" t="n"/>
      <c r="C246" s="30" t="n"/>
      <c r="D246" s="30" t="n"/>
      <c r="E246" s="30" t="n"/>
      <c r="F246" s="30" t="n"/>
      <c r="G246" s="30" t="n"/>
      <c r="H246" s="30" t="n"/>
      <c r="I246" s="30" t="n"/>
      <c r="J246" s="31">
        <f>IF(AND(ISNUMBER(F246),ISNUMBER(G246)),(F246*IF(ISNUMBER('CALC-3 Budget'!$D$7),'CALC-3 Budget'!$D$7,'CALC-3 Budget'!$C$7)+G246*IF(ISNUMBER('CALC-3 Budget'!$D$8),'CALC-3 Budget'!$D$8,'CALC-3 Budget'!$C$8))/1000000,"")</f>
        <v/>
      </c>
    </row>
    <row r="247">
      <c r="A247" s="30" t="n"/>
      <c r="B247" s="30" t="n"/>
      <c r="C247" s="30" t="n"/>
      <c r="D247" s="30" t="n"/>
      <c r="E247" s="30" t="n"/>
      <c r="F247" s="30" t="n"/>
      <c r="G247" s="30" t="n"/>
      <c r="H247" s="30" t="n"/>
      <c r="I247" s="30" t="n"/>
      <c r="J247" s="31">
        <f>IF(AND(ISNUMBER(F247),ISNUMBER(G247)),(F247*IF(ISNUMBER('CALC-3 Budget'!$D$7),'CALC-3 Budget'!$D$7,'CALC-3 Budget'!$C$7)+G247*IF(ISNUMBER('CALC-3 Budget'!$D$8),'CALC-3 Budget'!$D$8,'CALC-3 Budget'!$C$8))/1000000,"")</f>
        <v/>
      </c>
    </row>
    <row r="248">
      <c r="A248" s="30" t="n"/>
      <c r="B248" s="30" t="n"/>
      <c r="C248" s="30" t="n"/>
      <c r="D248" s="30" t="n"/>
      <c r="E248" s="30" t="n"/>
      <c r="F248" s="30" t="n"/>
      <c r="G248" s="30" t="n"/>
      <c r="H248" s="30" t="n"/>
      <c r="I248" s="30" t="n"/>
      <c r="J248" s="31">
        <f>IF(AND(ISNUMBER(F248),ISNUMBER(G248)),(F248*IF(ISNUMBER('CALC-3 Budget'!$D$7),'CALC-3 Budget'!$D$7,'CALC-3 Budget'!$C$7)+G248*IF(ISNUMBER('CALC-3 Budget'!$D$8),'CALC-3 Budget'!$D$8,'CALC-3 Budget'!$C$8))/1000000,"")</f>
        <v/>
      </c>
    </row>
    <row r="249">
      <c r="A249" s="30" t="n"/>
      <c r="B249" s="30" t="n"/>
      <c r="C249" s="30" t="n"/>
      <c r="D249" s="30" t="n"/>
      <c r="E249" s="30" t="n"/>
      <c r="F249" s="30" t="n"/>
      <c r="G249" s="30" t="n"/>
      <c r="H249" s="30" t="n"/>
      <c r="I249" s="30" t="n"/>
      <c r="J249" s="31">
        <f>IF(AND(ISNUMBER(F249),ISNUMBER(G249)),(F249*IF(ISNUMBER('CALC-3 Budget'!$D$7),'CALC-3 Budget'!$D$7,'CALC-3 Budget'!$C$7)+G249*IF(ISNUMBER('CALC-3 Budget'!$D$8),'CALC-3 Budget'!$D$8,'CALC-3 Budget'!$C$8))/1000000,"")</f>
        <v/>
      </c>
    </row>
    <row r="250">
      <c r="A250" s="30" t="n"/>
      <c r="B250" s="30" t="n"/>
      <c r="C250" s="30" t="n"/>
      <c r="D250" s="30" t="n"/>
      <c r="E250" s="30" t="n"/>
      <c r="F250" s="30" t="n"/>
      <c r="G250" s="30" t="n"/>
      <c r="H250" s="30" t="n"/>
      <c r="I250" s="30" t="n"/>
      <c r="J250" s="31">
        <f>IF(AND(ISNUMBER(F250),ISNUMBER(G250)),(F250*IF(ISNUMBER('CALC-3 Budget'!$D$7),'CALC-3 Budget'!$D$7,'CALC-3 Budget'!$C$7)+G250*IF(ISNUMBER('CALC-3 Budget'!$D$8),'CALC-3 Budget'!$D$8,'CALC-3 Budget'!$C$8))/1000000,"")</f>
        <v/>
      </c>
    </row>
    <row r="251">
      <c r="A251" s="30" t="n"/>
      <c r="B251" s="30" t="n"/>
      <c r="C251" s="30" t="n"/>
      <c r="D251" s="30" t="n"/>
      <c r="E251" s="30" t="n"/>
      <c r="F251" s="30" t="n"/>
      <c r="G251" s="30" t="n"/>
      <c r="H251" s="30" t="n"/>
      <c r="I251" s="30" t="n"/>
      <c r="J251" s="31">
        <f>IF(AND(ISNUMBER(F251),ISNUMBER(G251)),(F251*IF(ISNUMBER('CALC-3 Budget'!$D$7),'CALC-3 Budget'!$D$7,'CALC-3 Budget'!$C$7)+G251*IF(ISNUMBER('CALC-3 Budget'!$D$8),'CALC-3 Budget'!$D$8,'CALC-3 Budget'!$C$8))/1000000,"")</f>
        <v/>
      </c>
    </row>
    <row r="252">
      <c r="A252" s="30" t="n"/>
      <c r="B252" s="30" t="n"/>
      <c r="C252" s="30" t="n"/>
      <c r="D252" s="30" t="n"/>
      <c r="E252" s="30" t="n"/>
      <c r="F252" s="30" t="n"/>
      <c r="G252" s="30" t="n"/>
      <c r="H252" s="30" t="n"/>
      <c r="I252" s="30" t="n"/>
      <c r="J252" s="31">
        <f>IF(AND(ISNUMBER(F252),ISNUMBER(G252)),(F252*IF(ISNUMBER('CALC-3 Budget'!$D$7),'CALC-3 Budget'!$D$7,'CALC-3 Budget'!$C$7)+G252*IF(ISNUMBER('CALC-3 Budget'!$D$8),'CALC-3 Budget'!$D$8,'CALC-3 Budget'!$C$8))/1000000,"")</f>
        <v/>
      </c>
    </row>
    <row r="253">
      <c r="A253" s="30" t="n"/>
      <c r="B253" s="30" t="n"/>
      <c r="C253" s="30" t="n"/>
      <c r="D253" s="30" t="n"/>
      <c r="E253" s="30" t="n"/>
      <c r="F253" s="30" t="n"/>
      <c r="G253" s="30" t="n"/>
      <c r="H253" s="30" t="n"/>
      <c r="I253" s="30" t="n"/>
      <c r="J253" s="31">
        <f>IF(AND(ISNUMBER(F253),ISNUMBER(G253)),(F253*IF(ISNUMBER('CALC-3 Budget'!$D$7),'CALC-3 Budget'!$D$7,'CALC-3 Budget'!$C$7)+G253*IF(ISNUMBER('CALC-3 Budget'!$D$8),'CALC-3 Budget'!$D$8,'CALC-3 Budget'!$C$8))/1000000,"")</f>
        <v/>
      </c>
    </row>
    <row r="254">
      <c r="A254" s="30" t="n"/>
      <c r="B254" s="30" t="n"/>
      <c r="C254" s="30" t="n"/>
      <c r="D254" s="30" t="n"/>
      <c r="E254" s="30" t="n"/>
      <c r="F254" s="30" t="n"/>
      <c r="G254" s="30" t="n"/>
      <c r="H254" s="30" t="n"/>
      <c r="I254" s="30" t="n"/>
      <c r="J254" s="31">
        <f>IF(AND(ISNUMBER(F254),ISNUMBER(G254)),(F254*IF(ISNUMBER('CALC-3 Budget'!$D$7),'CALC-3 Budget'!$D$7,'CALC-3 Budget'!$C$7)+G254*IF(ISNUMBER('CALC-3 Budget'!$D$8),'CALC-3 Budget'!$D$8,'CALC-3 Budget'!$C$8))/1000000,"")</f>
        <v/>
      </c>
    </row>
    <row r="255">
      <c r="A255" s="30" t="n"/>
      <c r="B255" s="30" t="n"/>
      <c r="C255" s="30" t="n"/>
      <c r="D255" s="30" t="n"/>
      <c r="E255" s="30" t="n"/>
      <c r="F255" s="30" t="n"/>
      <c r="G255" s="30" t="n"/>
      <c r="H255" s="30" t="n"/>
      <c r="I255" s="30" t="n"/>
      <c r="J255" s="31">
        <f>IF(AND(ISNUMBER(F255),ISNUMBER(G255)),(F255*IF(ISNUMBER('CALC-3 Budget'!$D$7),'CALC-3 Budget'!$D$7,'CALC-3 Budget'!$C$7)+G255*IF(ISNUMBER('CALC-3 Budget'!$D$8),'CALC-3 Budget'!$D$8,'CALC-3 Budget'!$C$8))/1000000,"")</f>
        <v/>
      </c>
    </row>
    <row r="256">
      <c r="A256" s="30" t="n"/>
      <c r="B256" s="30" t="n"/>
      <c r="C256" s="30" t="n"/>
      <c r="D256" s="30" t="n"/>
      <c r="E256" s="30" t="n"/>
      <c r="F256" s="30" t="n"/>
      <c r="G256" s="30" t="n"/>
      <c r="H256" s="30" t="n"/>
      <c r="I256" s="30" t="n"/>
      <c r="J256" s="31">
        <f>IF(AND(ISNUMBER(F256),ISNUMBER(G256)),(F256*IF(ISNUMBER('CALC-3 Budget'!$D$7),'CALC-3 Budget'!$D$7,'CALC-3 Budget'!$C$7)+G256*IF(ISNUMBER('CALC-3 Budget'!$D$8),'CALC-3 Budget'!$D$8,'CALC-3 Budget'!$C$8))/1000000,"")</f>
        <v/>
      </c>
    </row>
    <row r="257">
      <c r="A257" s="30" t="n"/>
      <c r="B257" s="30" t="n"/>
      <c r="C257" s="30" t="n"/>
      <c r="D257" s="30" t="n"/>
      <c r="E257" s="30" t="n"/>
      <c r="F257" s="30" t="n"/>
      <c r="G257" s="30" t="n"/>
      <c r="H257" s="30" t="n"/>
      <c r="I257" s="30" t="n"/>
      <c r="J257" s="31">
        <f>IF(AND(ISNUMBER(F257),ISNUMBER(G257)),(F257*IF(ISNUMBER('CALC-3 Budget'!$D$7),'CALC-3 Budget'!$D$7,'CALC-3 Budget'!$C$7)+G257*IF(ISNUMBER('CALC-3 Budget'!$D$8),'CALC-3 Budget'!$D$8,'CALC-3 Budget'!$C$8))/1000000,"")</f>
        <v/>
      </c>
    </row>
    <row r="258">
      <c r="A258" s="30" t="n"/>
      <c r="B258" s="30" t="n"/>
      <c r="C258" s="30" t="n"/>
      <c r="D258" s="30" t="n"/>
      <c r="E258" s="30" t="n"/>
      <c r="F258" s="30" t="n"/>
      <c r="G258" s="30" t="n"/>
      <c r="H258" s="30" t="n"/>
      <c r="I258" s="30" t="n"/>
      <c r="J258" s="31">
        <f>IF(AND(ISNUMBER(F258),ISNUMBER(G258)),(F258*IF(ISNUMBER('CALC-3 Budget'!$D$7),'CALC-3 Budget'!$D$7,'CALC-3 Budget'!$C$7)+G258*IF(ISNUMBER('CALC-3 Budget'!$D$8),'CALC-3 Budget'!$D$8,'CALC-3 Budget'!$C$8))/1000000,"")</f>
        <v/>
      </c>
    </row>
    <row r="259">
      <c r="A259" s="30" t="n"/>
      <c r="B259" s="30" t="n"/>
      <c r="C259" s="30" t="n"/>
      <c r="D259" s="30" t="n"/>
      <c r="E259" s="30" t="n"/>
      <c r="F259" s="30" t="n"/>
      <c r="G259" s="30" t="n"/>
      <c r="H259" s="30" t="n"/>
      <c r="I259" s="30" t="n"/>
      <c r="J259" s="31">
        <f>IF(AND(ISNUMBER(F259),ISNUMBER(G259)),(F259*IF(ISNUMBER('CALC-3 Budget'!$D$7),'CALC-3 Budget'!$D$7,'CALC-3 Budget'!$C$7)+G259*IF(ISNUMBER('CALC-3 Budget'!$D$8),'CALC-3 Budget'!$D$8,'CALC-3 Budget'!$C$8))/1000000,"")</f>
        <v/>
      </c>
    </row>
    <row r="260">
      <c r="A260" s="30" t="n"/>
      <c r="B260" s="30" t="n"/>
      <c r="C260" s="30" t="n"/>
      <c r="D260" s="30" t="n"/>
      <c r="E260" s="30" t="n"/>
      <c r="F260" s="30" t="n"/>
      <c r="G260" s="30" t="n"/>
      <c r="H260" s="30" t="n"/>
      <c r="I260" s="30" t="n"/>
      <c r="J260" s="31">
        <f>IF(AND(ISNUMBER(F260),ISNUMBER(G260)),(F260*IF(ISNUMBER('CALC-3 Budget'!$D$7),'CALC-3 Budget'!$D$7,'CALC-3 Budget'!$C$7)+G260*IF(ISNUMBER('CALC-3 Budget'!$D$8),'CALC-3 Budget'!$D$8,'CALC-3 Budget'!$C$8))/1000000,"")</f>
        <v/>
      </c>
    </row>
    <row r="261">
      <c r="A261" s="30" t="n"/>
      <c r="B261" s="30" t="n"/>
      <c r="C261" s="30" t="n"/>
      <c r="D261" s="30" t="n"/>
      <c r="E261" s="30" t="n"/>
      <c r="F261" s="30" t="n"/>
      <c r="G261" s="30" t="n"/>
      <c r="H261" s="30" t="n"/>
      <c r="I261" s="30" t="n"/>
      <c r="J261" s="31">
        <f>IF(AND(ISNUMBER(F261),ISNUMBER(G261)),(F261*IF(ISNUMBER('CALC-3 Budget'!$D$7),'CALC-3 Budget'!$D$7,'CALC-3 Budget'!$C$7)+G261*IF(ISNUMBER('CALC-3 Budget'!$D$8),'CALC-3 Budget'!$D$8,'CALC-3 Budget'!$C$8))/1000000,"")</f>
        <v/>
      </c>
    </row>
    <row r="262">
      <c r="A262" s="30" t="n"/>
      <c r="B262" s="30" t="n"/>
      <c r="C262" s="30" t="n"/>
      <c r="D262" s="30" t="n"/>
      <c r="E262" s="30" t="n"/>
      <c r="F262" s="30" t="n"/>
      <c r="G262" s="30" t="n"/>
      <c r="H262" s="30" t="n"/>
      <c r="I262" s="30" t="n"/>
      <c r="J262" s="31">
        <f>IF(AND(ISNUMBER(F262),ISNUMBER(G262)),(F262*IF(ISNUMBER('CALC-3 Budget'!$D$7),'CALC-3 Budget'!$D$7,'CALC-3 Budget'!$C$7)+G262*IF(ISNUMBER('CALC-3 Budget'!$D$8),'CALC-3 Budget'!$D$8,'CALC-3 Budget'!$C$8))/1000000,"")</f>
        <v/>
      </c>
    </row>
    <row r="263">
      <c r="A263" s="30" t="n"/>
      <c r="B263" s="30" t="n"/>
      <c r="C263" s="30" t="n"/>
      <c r="D263" s="30" t="n"/>
      <c r="E263" s="30" t="n"/>
      <c r="F263" s="30" t="n"/>
      <c r="G263" s="30" t="n"/>
      <c r="H263" s="30" t="n"/>
      <c r="I263" s="30" t="n"/>
      <c r="J263" s="31">
        <f>IF(AND(ISNUMBER(F263),ISNUMBER(G263)),(F263*IF(ISNUMBER('CALC-3 Budget'!$D$7),'CALC-3 Budget'!$D$7,'CALC-3 Budget'!$C$7)+G263*IF(ISNUMBER('CALC-3 Budget'!$D$8),'CALC-3 Budget'!$D$8,'CALC-3 Budget'!$C$8))/1000000,"")</f>
        <v/>
      </c>
    </row>
    <row r="264">
      <c r="A264" s="30" t="n"/>
      <c r="B264" s="30" t="n"/>
      <c r="C264" s="30" t="n"/>
      <c r="D264" s="30" t="n"/>
      <c r="E264" s="30" t="n"/>
      <c r="F264" s="30" t="n"/>
      <c r="G264" s="30" t="n"/>
      <c r="H264" s="30" t="n"/>
      <c r="I264" s="30" t="n"/>
      <c r="J264" s="31">
        <f>IF(AND(ISNUMBER(F264),ISNUMBER(G264)),(F264*IF(ISNUMBER('CALC-3 Budget'!$D$7),'CALC-3 Budget'!$D$7,'CALC-3 Budget'!$C$7)+G264*IF(ISNUMBER('CALC-3 Budget'!$D$8),'CALC-3 Budget'!$D$8,'CALC-3 Budget'!$C$8))/1000000,"")</f>
        <v/>
      </c>
    </row>
    <row r="265">
      <c r="A265" s="30" t="n"/>
      <c r="B265" s="30" t="n"/>
      <c r="C265" s="30" t="n"/>
      <c r="D265" s="30" t="n"/>
      <c r="E265" s="30" t="n"/>
      <c r="F265" s="30" t="n"/>
      <c r="G265" s="30" t="n"/>
      <c r="H265" s="30" t="n"/>
      <c r="I265" s="30" t="n"/>
      <c r="J265" s="31">
        <f>IF(AND(ISNUMBER(F265),ISNUMBER(G265)),(F265*IF(ISNUMBER('CALC-3 Budget'!$D$7),'CALC-3 Budget'!$D$7,'CALC-3 Budget'!$C$7)+G265*IF(ISNUMBER('CALC-3 Budget'!$D$8),'CALC-3 Budget'!$D$8,'CALC-3 Budget'!$C$8))/1000000,"")</f>
        <v/>
      </c>
    </row>
    <row r="266">
      <c r="A266" s="30" t="n"/>
      <c r="B266" s="30" t="n"/>
      <c r="C266" s="30" t="n"/>
      <c r="D266" s="30" t="n"/>
      <c r="E266" s="30" t="n"/>
      <c r="F266" s="30" t="n"/>
      <c r="G266" s="30" t="n"/>
      <c r="H266" s="30" t="n"/>
      <c r="I266" s="30" t="n"/>
      <c r="J266" s="31">
        <f>IF(AND(ISNUMBER(F266),ISNUMBER(G266)),(F266*IF(ISNUMBER('CALC-3 Budget'!$D$7),'CALC-3 Budget'!$D$7,'CALC-3 Budget'!$C$7)+G266*IF(ISNUMBER('CALC-3 Budget'!$D$8),'CALC-3 Budget'!$D$8,'CALC-3 Budget'!$C$8))/1000000,"")</f>
        <v/>
      </c>
    </row>
    <row r="267">
      <c r="A267" s="30" t="n"/>
      <c r="B267" s="30" t="n"/>
      <c r="C267" s="30" t="n"/>
      <c r="D267" s="30" t="n"/>
      <c r="E267" s="30" t="n"/>
      <c r="F267" s="30" t="n"/>
      <c r="G267" s="30" t="n"/>
      <c r="H267" s="30" t="n"/>
      <c r="I267" s="30" t="n"/>
      <c r="J267" s="31">
        <f>IF(AND(ISNUMBER(F267),ISNUMBER(G267)),(F267*IF(ISNUMBER('CALC-3 Budget'!$D$7),'CALC-3 Budget'!$D$7,'CALC-3 Budget'!$C$7)+G267*IF(ISNUMBER('CALC-3 Budget'!$D$8),'CALC-3 Budget'!$D$8,'CALC-3 Budget'!$C$8))/1000000,"")</f>
        <v/>
      </c>
    </row>
    <row r="268">
      <c r="A268" s="30" t="n"/>
      <c r="B268" s="30" t="n"/>
      <c r="C268" s="30" t="n"/>
      <c r="D268" s="30" t="n"/>
      <c r="E268" s="30" t="n"/>
      <c r="F268" s="30" t="n"/>
      <c r="G268" s="30" t="n"/>
      <c r="H268" s="30" t="n"/>
      <c r="I268" s="30" t="n"/>
      <c r="J268" s="31">
        <f>IF(AND(ISNUMBER(F268),ISNUMBER(G268)),(F268*IF(ISNUMBER('CALC-3 Budget'!$D$7),'CALC-3 Budget'!$D$7,'CALC-3 Budget'!$C$7)+G268*IF(ISNUMBER('CALC-3 Budget'!$D$8),'CALC-3 Budget'!$D$8,'CALC-3 Budget'!$C$8))/1000000,"")</f>
        <v/>
      </c>
    </row>
    <row r="269">
      <c r="A269" s="30" t="n"/>
      <c r="B269" s="30" t="n"/>
      <c r="C269" s="30" t="n"/>
      <c r="D269" s="30" t="n"/>
      <c r="E269" s="30" t="n"/>
      <c r="F269" s="30" t="n"/>
      <c r="G269" s="30" t="n"/>
      <c r="H269" s="30" t="n"/>
      <c r="I269" s="30" t="n"/>
      <c r="J269" s="31">
        <f>IF(AND(ISNUMBER(F269),ISNUMBER(G269)),(F269*IF(ISNUMBER('CALC-3 Budget'!$D$7),'CALC-3 Budget'!$D$7,'CALC-3 Budget'!$C$7)+G269*IF(ISNUMBER('CALC-3 Budget'!$D$8),'CALC-3 Budget'!$D$8,'CALC-3 Budget'!$C$8))/1000000,"")</f>
        <v/>
      </c>
    </row>
    <row r="270">
      <c r="A270" s="30" t="n"/>
      <c r="B270" s="30" t="n"/>
      <c r="C270" s="30" t="n"/>
      <c r="D270" s="30" t="n"/>
      <c r="E270" s="30" t="n"/>
      <c r="F270" s="30" t="n"/>
      <c r="G270" s="30" t="n"/>
      <c r="H270" s="30" t="n"/>
      <c r="I270" s="30" t="n"/>
      <c r="J270" s="31">
        <f>IF(AND(ISNUMBER(F270),ISNUMBER(G270)),(F270*IF(ISNUMBER('CALC-3 Budget'!$D$7),'CALC-3 Budget'!$D$7,'CALC-3 Budget'!$C$7)+G270*IF(ISNUMBER('CALC-3 Budget'!$D$8),'CALC-3 Budget'!$D$8,'CALC-3 Budget'!$C$8))/1000000,"")</f>
        <v/>
      </c>
    </row>
    <row r="271">
      <c r="A271" s="30" t="n"/>
      <c r="B271" s="30" t="n"/>
      <c r="C271" s="30" t="n"/>
      <c r="D271" s="30" t="n"/>
      <c r="E271" s="30" t="n"/>
      <c r="F271" s="30" t="n"/>
      <c r="G271" s="30" t="n"/>
      <c r="H271" s="30" t="n"/>
      <c r="I271" s="30" t="n"/>
      <c r="J271" s="31">
        <f>IF(AND(ISNUMBER(F271),ISNUMBER(G271)),(F271*IF(ISNUMBER('CALC-3 Budget'!$D$7),'CALC-3 Budget'!$D$7,'CALC-3 Budget'!$C$7)+G271*IF(ISNUMBER('CALC-3 Budget'!$D$8),'CALC-3 Budget'!$D$8,'CALC-3 Budget'!$C$8))/1000000,"")</f>
        <v/>
      </c>
    </row>
    <row r="272">
      <c r="A272" s="30" t="n"/>
      <c r="B272" s="30" t="n"/>
      <c r="C272" s="30" t="n"/>
      <c r="D272" s="30" t="n"/>
      <c r="E272" s="30" t="n"/>
      <c r="F272" s="30" t="n"/>
      <c r="G272" s="30" t="n"/>
      <c r="H272" s="30" t="n"/>
      <c r="I272" s="30" t="n"/>
      <c r="J272" s="31">
        <f>IF(AND(ISNUMBER(F272),ISNUMBER(G272)),(F272*IF(ISNUMBER('CALC-3 Budget'!$D$7),'CALC-3 Budget'!$D$7,'CALC-3 Budget'!$C$7)+G272*IF(ISNUMBER('CALC-3 Budget'!$D$8),'CALC-3 Budget'!$D$8,'CALC-3 Budget'!$C$8))/1000000,"")</f>
        <v/>
      </c>
    </row>
    <row r="273">
      <c r="A273" s="30" t="n"/>
      <c r="B273" s="30" t="n"/>
      <c r="C273" s="30" t="n"/>
      <c r="D273" s="30" t="n"/>
      <c r="E273" s="30" t="n"/>
      <c r="F273" s="30" t="n"/>
      <c r="G273" s="30" t="n"/>
      <c r="H273" s="30" t="n"/>
      <c r="I273" s="30" t="n"/>
      <c r="J273" s="31">
        <f>IF(AND(ISNUMBER(F273),ISNUMBER(G273)),(F273*IF(ISNUMBER('CALC-3 Budget'!$D$7),'CALC-3 Budget'!$D$7,'CALC-3 Budget'!$C$7)+G273*IF(ISNUMBER('CALC-3 Budget'!$D$8),'CALC-3 Budget'!$D$8,'CALC-3 Budget'!$C$8))/1000000,"")</f>
        <v/>
      </c>
    </row>
    <row r="274">
      <c r="A274" s="30" t="n"/>
      <c r="B274" s="30" t="n"/>
      <c r="C274" s="30" t="n"/>
      <c r="D274" s="30" t="n"/>
      <c r="E274" s="30" t="n"/>
      <c r="F274" s="30" t="n"/>
      <c r="G274" s="30" t="n"/>
      <c r="H274" s="30" t="n"/>
      <c r="I274" s="30" t="n"/>
      <c r="J274" s="31">
        <f>IF(AND(ISNUMBER(F274),ISNUMBER(G274)),(F274*IF(ISNUMBER('CALC-3 Budget'!$D$7),'CALC-3 Budget'!$D$7,'CALC-3 Budget'!$C$7)+G274*IF(ISNUMBER('CALC-3 Budget'!$D$8),'CALC-3 Budget'!$D$8,'CALC-3 Budget'!$C$8))/1000000,"")</f>
        <v/>
      </c>
    </row>
    <row r="275">
      <c r="A275" s="30" t="n"/>
      <c r="B275" s="30" t="n"/>
      <c r="C275" s="30" t="n"/>
      <c r="D275" s="30" t="n"/>
      <c r="E275" s="30" t="n"/>
      <c r="F275" s="30" t="n"/>
      <c r="G275" s="30" t="n"/>
      <c r="H275" s="30" t="n"/>
      <c r="I275" s="30" t="n"/>
      <c r="J275" s="31">
        <f>IF(AND(ISNUMBER(F275),ISNUMBER(G275)),(F275*IF(ISNUMBER('CALC-3 Budget'!$D$7),'CALC-3 Budget'!$D$7,'CALC-3 Budget'!$C$7)+G275*IF(ISNUMBER('CALC-3 Budget'!$D$8),'CALC-3 Budget'!$D$8,'CALC-3 Budget'!$C$8))/1000000,"")</f>
        <v/>
      </c>
    </row>
    <row r="276">
      <c r="A276" s="30" t="n"/>
      <c r="B276" s="30" t="n"/>
      <c r="C276" s="30" t="n"/>
      <c r="D276" s="30" t="n"/>
      <c r="E276" s="30" t="n"/>
      <c r="F276" s="30" t="n"/>
      <c r="G276" s="30" t="n"/>
      <c r="H276" s="30" t="n"/>
      <c r="I276" s="30" t="n"/>
      <c r="J276" s="31">
        <f>IF(AND(ISNUMBER(F276),ISNUMBER(G276)),(F276*IF(ISNUMBER('CALC-3 Budget'!$D$7),'CALC-3 Budget'!$D$7,'CALC-3 Budget'!$C$7)+G276*IF(ISNUMBER('CALC-3 Budget'!$D$8),'CALC-3 Budget'!$D$8,'CALC-3 Budget'!$C$8))/1000000,"")</f>
        <v/>
      </c>
    </row>
    <row r="277">
      <c r="A277" s="30" t="n"/>
      <c r="B277" s="30" t="n"/>
      <c r="C277" s="30" t="n"/>
      <c r="D277" s="30" t="n"/>
      <c r="E277" s="30" t="n"/>
      <c r="F277" s="30" t="n"/>
      <c r="G277" s="30" t="n"/>
      <c r="H277" s="30" t="n"/>
      <c r="I277" s="30" t="n"/>
      <c r="J277" s="31">
        <f>IF(AND(ISNUMBER(F277),ISNUMBER(G277)),(F277*IF(ISNUMBER('CALC-3 Budget'!$D$7),'CALC-3 Budget'!$D$7,'CALC-3 Budget'!$C$7)+G277*IF(ISNUMBER('CALC-3 Budget'!$D$8),'CALC-3 Budget'!$D$8,'CALC-3 Budget'!$C$8))/1000000,"")</f>
        <v/>
      </c>
    </row>
    <row r="278">
      <c r="A278" s="30" t="n"/>
      <c r="B278" s="30" t="n"/>
      <c r="C278" s="30" t="n"/>
      <c r="D278" s="30" t="n"/>
      <c r="E278" s="30" t="n"/>
      <c r="F278" s="30" t="n"/>
      <c r="G278" s="30" t="n"/>
      <c r="H278" s="30" t="n"/>
      <c r="I278" s="30" t="n"/>
      <c r="J278" s="31">
        <f>IF(AND(ISNUMBER(F278),ISNUMBER(G278)),(F278*IF(ISNUMBER('CALC-3 Budget'!$D$7),'CALC-3 Budget'!$D$7,'CALC-3 Budget'!$C$7)+G278*IF(ISNUMBER('CALC-3 Budget'!$D$8),'CALC-3 Budget'!$D$8,'CALC-3 Budget'!$C$8))/1000000,"")</f>
        <v/>
      </c>
    </row>
    <row r="279">
      <c r="A279" s="30" t="n"/>
      <c r="B279" s="30" t="n"/>
      <c r="C279" s="30" t="n"/>
      <c r="D279" s="30" t="n"/>
      <c r="E279" s="30" t="n"/>
      <c r="F279" s="30" t="n"/>
      <c r="G279" s="30" t="n"/>
      <c r="H279" s="30" t="n"/>
      <c r="I279" s="30" t="n"/>
      <c r="J279" s="31">
        <f>IF(AND(ISNUMBER(F279),ISNUMBER(G279)),(F279*IF(ISNUMBER('CALC-3 Budget'!$D$7),'CALC-3 Budget'!$D$7,'CALC-3 Budget'!$C$7)+G279*IF(ISNUMBER('CALC-3 Budget'!$D$8),'CALC-3 Budget'!$D$8,'CALC-3 Budget'!$C$8))/1000000,"")</f>
        <v/>
      </c>
    </row>
    <row r="280">
      <c r="A280" s="30" t="n"/>
      <c r="B280" s="30" t="n"/>
      <c r="C280" s="30" t="n"/>
      <c r="D280" s="30" t="n"/>
      <c r="E280" s="30" t="n"/>
      <c r="F280" s="30" t="n"/>
      <c r="G280" s="30" t="n"/>
      <c r="H280" s="30" t="n"/>
      <c r="I280" s="30" t="n"/>
      <c r="J280" s="31">
        <f>IF(AND(ISNUMBER(F280),ISNUMBER(G280)),(F280*IF(ISNUMBER('CALC-3 Budget'!$D$7),'CALC-3 Budget'!$D$7,'CALC-3 Budget'!$C$7)+G280*IF(ISNUMBER('CALC-3 Budget'!$D$8),'CALC-3 Budget'!$D$8,'CALC-3 Budget'!$C$8))/1000000,"")</f>
        <v/>
      </c>
    </row>
    <row r="281">
      <c r="A281" s="30" t="n"/>
      <c r="B281" s="30" t="n"/>
      <c r="C281" s="30" t="n"/>
      <c r="D281" s="30" t="n"/>
      <c r="E281" s="30" t="n"/>
      <c r="F281" s="30" t="n"/>
      <c r="G281" s="30" t="n"/>
      <c r="H281" s="30" t="n"/>
      <c r="I281" s="30" t="n"/>
      <c r="J281" s="31">
        <f>IF(AND(ISNUMBER(F281),ISNUMBER(G281)),(F281*IF(ISNUMBER('CALC-3 Budget'!$D$7),'CALC-3 Budget'!$D$7,'CALC-3 Budget'!$C$7)+G281*IF(ISNUMBER('CALC-3 Budget'!$D$8),'CALC-3 Budget'!$D$8,'CALC-3 Budget'!$C$8))/1000000,"")</f>
        <v/>
      </c>
    </row>
    <row r="282">
      <c r="A282" s="30" t="n"/>
      <c r="B282" s="30" t="n"/>
      <c r="C282" s="30" t="n"/>
      <c r="D282" s="30" t="n"/>
      <c r="E282" s="30" t="n"/>
      <c r="F282" s="30" t="n"/>
      <c r="G282" s="30" t="n"/>
      <c r="H282" s="30" t="n"/>
      <c r="I282" s="30" t="n"/>
      <c r="J282" s="31">
        <f>IF(AND(ISNUMBER(F282),ISNUMBER(G282)),(F282*IF(ISNUMBER('CALC-3 Budget'!$D$7),'CALC-3 Budget'!$D$7,'CALC-3 Budget'!$C$7)+G282*IF(ISNUMBER('CALC-3 Budget'!$D$8),'CALC-3 Budget'!$D$8,'CALC-3 Budget'!$C$8))/1000000,"")</f>
        <v/>
      </c>
    </row>
    <row r="283">
      <c r="A283" s="30" t="n"/>
      <c r="B283" s="30" t="n"/>
      <c r="C283" s="30" t="n"/>
      <c r="D283" s="30" t="n"/>
      <c r="E283" s="30" t="n"/>
      <c r="F283" s="30" t="n"/>
      <c r="G283" s="30" t="n"/>
      <c r="H283" s="30" t="n"/>
      <c r="I283" s="30" t="n"/>
      <c r="J283" s="31">
        <f>IF(AND(ISNUMBER(F283),ISNUMBER(G283)),(F283*IF(ISNUMBER('CALC-3 Budget'!$D$7),'CALC-3 Budget'!$D$7,'CALC-3 Budget'!$C$7)+G283*IF(ISNUMBER('CALC-3 Budget'!$D$8),'CALC-3 Budget'!$D$8,'CALC-3 Budget'!$C$8))/1000000,"")</f>
        <v/>
      </c>
    </row>
    <row r="284">
      <c r="A284" s="30" t="n"/>
      <c r="B284" s="30" t="n"/>
      <c r="C284" s="30" t="n"/>
      <c r="D284" s="30" t="n"/>
      <c r="E284" s="30" t="n"/>
      <c r="F284" s="30" t="n"/>
      <c r="G284" s="30" t="n"/>
      <c r="H284" s="30" t="n"/>
      <c r="I284" s="30" t="n"/>
      <c r="J284" s="31">
        <f>IF(AND(ISNUMBER(F284),ISNUMBER(G284)),(F284*IF(ISNUMBER('CALC-3 Budget'!$D$7),'CALC-3 Budget'!$D$7,'CALC-3 Budget'!$C$7)+G284*IF(ISNUMBER('CALC-3 Budget'!$D$8),'CALC-3 Budget'!$D$8,'CALC-3 Budget'!$C$8))/1000000,"")</f>
        <v/>
      </c>
    </row>
    <row r="285">
      <c r="A285" s="30" t="n"/>
      <c r="B285" s="30" t="n"/>
      <c r="C285" s="30" t="n"/>
      <c r="D285" s="30" t="n"/>
      <c r="E285" s="30" t="n"/>
      <c r="F285" s="30" t="n"/>
      <c r="G285" s="30" t="n"/>
      <c r="H285" s="30" t="n"/>
      <c r="I285" s="30" t="n"/>
      <c r="J285" s="31">
        <f>IF(AND(ISNUMBER(F285),ISNUMBER(G285)),(F285*IF(ISNUMBER('CALC-3 Budget'!$D$7),'CALC-3 Budget'!$D$7,'CALC-3 Budget'!$C$7)+G285*IF(ISNUMBER('CALC-3 Budget'!$D$8),'CALC-3 Budget'!$D$8,'CALC-3 Budget'!$C$8))/1000000,"")</f>
        <v/>
      </c>
    </row>
    <row r="286">
      <c r="A286" s="30" t="n"/>
      <c r="B286" s="30" t="n"/>
      <c r="C286" s="30" t="n"/>
      <c r="D286" s="30" t="n"/>
      <c r="E286" s="30" t="n"/>
      <c r="F286" s="30" t="n"/>
      <c r="G286" s="30" t="n"/>
      <c r="H286" s="30" t="n"/>
      <c r="I286" s="30" t="n"/>
      <c r="J286" s="31">
        <f>IF(AND(ISNUMBER(F286),ISNUMBER(G286)),(F286*IF(ISNUMBER('CALC-3 Budget'!$D$7),'CALC-3 Budget'!$D$7,'CALC-3 Budget'!$C$7)+G286*IF(ISNUMBER('CALC-3 Budget'!$D$8),'CALC-3 Budget'!$D$8,'CALC-3 Budget'!$C$8))/1000000,"")</f>
        <v/>
      </c>
    </row>
    <row r="287">
      <c r="A287" s="30" t="n"/>
      <c r="B287" s="30" t="n"/>
      <c r="C287" s="30" t="n"/>
      <c r="D287" s="30" t="n"/>
      <c r="E287" s="30" t="n"/>
      <c r="F287" s="30" t="n"/>
      <c r="G287" s="30" t="n"/>
      <c r="H287" s="30" t="n"/>
      <c r="I287" s="30" t="n"/>
      <c r="J287" s="31">
        <f>IF(AND(ISNUMBER(F287),ISNUMBER(G287)),(F287*IF(ISNUMBER('CALC-3 Budget'!$D$7),'CALC-3 Budget'!$D$7,'CALC-3 Budget'!$C$7)+G287*IF(ISNUMBER('CALC-3 Budget'!$D$8),'CALC-3 Budget'!$D$8,'CALC-3 Budget'!$C$8))/1000000,"")</f>
        <v/>
      </c>
    </row>
    <row r="288">
      <c r="A288" s="30" t="n"/>
      <c r="B288" s="30" t="n"/>
      <c r="C288" s="30" t="n"/>
      <c r="D288" s="30" t="n"/>
      <c r="E288" s="30" t="n"/>
      <c r="F288" s="30" t="n"/>
      <c r="G288" s="30" t="n"/>
      <c r="H288" s="30" t="n"/>
      <c r="I288" s="30" t="n"/>
      <c r="J288" s="31">
        <f>IF(AND(ISNUMBER(F288),ISNUMBER(G288)),(F288*IF(ISNUMBER('CALC-3 Budget'!$D$7),'CALC-3 Budget'!$D$7,'CALC-3 Budget'!$C$7)+G288*IF(ISNUMBER('CALC-3 Budget'!$D$8),'CALC-3 Budget'!$D$8,'CALC-3 Budget'!$C$8))/1000000,"")</f>
        <v/>
      </c>
    </row>
    <row r="289">
      <c r="A289" s="30" t="n"/>
      <c r="B289" s="30" t="n"/>
      <c r="C289" s="30" t="n"/>
      <c r="D289" s="30" t="n"/>
      <c r="E289" s="30" t="n"/>
      <c r="F289" s="30" t="n"/>
      <c r="G289" s="30" t="n"/>
      <c r="H289" s="30" t="n"/>
      <c r="I289" s="30" t="n"/>
      <c r="J289" s="31">
        <f>IF(AND(ISNUMBER(F289),ISNUMBER(G289)),(F289*IF(ISNUMBER('CALC-3 Budget'!$D$7),'CALC-3 Budget'!$D$7,'CALC-3 Budget'!$C$7)+G289*IF(ISNUMBER('CALC-3 Budget'!$D$8),'CALC-3 Budget'!$D$8,'CALC-3 Budget'!$C$8))/1000000,"")</f>
        <v/>
      </c>
    </row>
    <row r="290">
      <c r="A290" s="30" t="n"/>
      <c r="B290" s="30" t="n"/>
      <c r="C290" s="30" t="n"/>
      <c r="D290" s="30" t="n"/>
      <c r="E290" s="30" t="n"/>
      <c r="F290" s="30" t="n"/>
      <c r="G290" s="30" t="n"/>
      <c r="H290" s="30" t="n"/>
      <c r="I290" s="30" t="n"/>
      <c r="J290" s="31">
        <f>IF(AND(ISNUMBER(F290),ISNUMBER(G290)),(F290*IF(ISNUMBER('CALC-3 Budget'!$D$7),'CALC-3 Budget'!$D$7,'CALC-3 Budget'!$C$7)+G290*IF(ISNUMBER('CALC-3 Budget'!$D$8),'CALC-3 Budget'!$D$8,'CALC-3 Budget'!$C$8))/1000000,"")</f>
        <v/>
      </c>
    </row>
    <row r="291">
      <c r="A291" s="30" t="n"/>
      <c r="B291" s="30" t="n"/>
      <c r="C291" s="30" t="n"/>
      <c r="D291" s="30" t="n"/>
      <c r="E291" s="30" t="n"/>
      <c r="F291" s="30" t="n"/>
      <c r="G291" s="30" t="n"/>
      <c r="H291" s="30" t="n"/>
      <c r="I291" s="30" t="n"/>
      <c r="J291" s="31">
        <f>IF(AND(ISNUMBER(F291),ISNUMBER(G291)),(F291*IF(ISNUMBER('CALC-3 Budget'!$D$7),'CALC-3 Budget'!$D$7,'CALC-3 Budget'!$C$7)+G291*IF(ISNUMBER('CALC-3 Budget'!$D$8),'CALC-3 Budget'!$D$8,'CALC-3 Budget'!$C$8))/1000000,"")</f>
        <v/>
      </c>
    </row>
    <row r="292">
      <c r="A292" s="30" t="n"/>
      <c r="B292" s="30" t="n"/>
      <c r="C292" s="30" t="n"/>
      <c r="D292" s="30" t="n"/>
      <c r="E292" s="30" t="n"/>
      <c r="F292" s="30" t="n"/>
      <c r="G292" s="30" t="n"/>
      <c r="H292" s="30" t="n"/>
      <c r="I292" s="30" t="n"/>
      <c r="J292" s="31">
        <f>IF(AND(ISNUMBER(F292),ISNUMBER(G292)),(F292*IF(ISNUMBER('CALC-3 Budget'!$D$7),'CALC-3 Budget'!$D$7,'CALC-3 Budget'!$C$7)+G292*IF(ISNUMBER('CALC-3 Budget'!$D$8),'CALC-3 Budget'!$D$8,'CALC-3 Budget'!$C$8))/1000000,"")</f>
        <v/>
      </c>
    </row>
    <row r="293">
      <c r="A293" s="30" t="n"/>
      <c r="B293" s="30" t="n"/>
      <c r="C293" s="30" t="n"/>
      <c r="D293" s="30" t="n"/>
      <c r="E293" s="30" t="n"/>
      <c r="F293" s="30" t="n"/>
      <c r="G293" s="30" t="n"/>
      <c r="H293" s="30" t="n"/>
      <c r="I293" s="30" t="n"/>
      <c r="J293" s="31">
        <f>IF(AND(ISNUMBER(F293),ISNUMBER(G293)),(F293*IF(ISNUMBER('CALC-3 Budget'!$D$7),'CALC-3 Budget'!$D$7,'CALC-3 Budget'!$C$7)+G293*IF(ISNUMBER('CALC-3 Budget'!$D$8),'CALC-3 Budget'!$D$8,'CALC-3 Budget'!$C$8))/1000000,"")</f>
        <v/>
      </c>
    </row>
    <row r="294">
      <c r="A294" s="30" t="n"/>
      <c r="B294" s="30" t="n"/>
      <c r="C294" s="30" t="n"/>
      <c r="D294" s="30" t="n"/>
      <c r="E294" s="30" t="n"/>
      <c r="F294" s="30" t="n"/>
      <c r="G294" s="30" t="n"/>
      <c r="H294" s="30" t="n"/>
      <c r="I294" s="30" t="n"/>
      <c r="J294" s="31">
        <f>IF(AND(ISNUMBER(F294),ISNUMBER(G294)),(F294*IF(ISNUMBER('CALC-3 Budget'!$D$7),'CALC-3 Budget'!$D$7,'CALC-3 Budget'!$C$7)+G294*IF(ISNUMBER('CALC-3 Budget'!$D$8),'CALC-3 Budget'!$D$8,'CALC-3 Budget'!$C$8))/1000000,"")</f>
        <v/>
      </c>
    </row>
    <row r="295">
      <c r="A295" s="30" t="n"/>
      <c r="B295" s="30" t="n"/>
      <c r="C295" s="30" t="n"/>
      <c r="D295" s="30" t="n"/>
      <c r="E295" s="30" t="n"/>
      <c r="F295" s="30" t="n"/>
      <c r="G295" s="30" t="n"/>
      <c r="H295" s="30" t="n"/>
      <c r="I295" s="30" t="n"/>
      <c r="J295" s="31">
        <f>IF(AND(ISNUMBER(F295),ISNUMBER(G295)),(F295*IF(ISNUMBER('CALC-3 Budget'!$D$7),'CALC-3 Budget'!$D$7,'CALC-3 Budget'!$C$7)+G295*IF(ISNUMBER('CALC-3 Budget'!$D$8),'CALC-3 Budget'!$D$8,'CALC-3 Budget'!$C$8))/1000000,"")</f>
        <v/>
      </c>
    </row>
    <row r="296">
      <c r="A296" s="30" t="n"/>
      <c r="B296" s="30" t="n"/>
      <c r="C296" s="30" t="n"/>
      <c r="D296" s="30" t="n"/>
      <c r="E296" s="30" t="n"/>
      <c r="F296" s="30" t="n"/>
      <c r="G296" s="30" t="n"/>
      <c r="H296" s="30" t="n"/>
      <c r="I296" s="30" t="n"/>
      <c r="J296" s="31">
        <f>IF(AND(ISNUMBER(F296),ISNUMBER(G296)),(F296*IF(ISNUMBER('CALC-3 Budget'!$D$7),'CALC-3 Budget'!$D$7,'CALC-3 Budget'!$C$7)+G296*IF(ISNUMBER('CALC-3 Budget'!$D$8),'CALC-3 Budget'!$D$8,'CALC-3 Budget'!$C$8))/1000000,"")</f>
        <v/>
      </c>
    </row>
    <row r="297">
      <c r="A297" s="30" t="n"/>
      <c r="B297" s="30" t="n"/>
      <c r="C297" s="30" t="n"/>
      <c r="D297" s="30" t="n"/>
      <c r="E297" s="30" t="n"/>
      <c r="F297" s="30" t="n"/>
      <c r="G297" s="30" t="n"/>
      <c r="H297" s="30" t="n"/>
      <c r="I297" s="30" t="n"/>
      <c r="J297" s="31">
        <f>IF(AND(ISNUMBER(F297),ISNUMBER(G297)),(F297*IF(ISNUMBER('CALC-3 Budget'!$D$7),'CALC-3 Budget'!$D$7,'CALC-3 Budget'!$C$7)+G297*IF(ISNUMBER('CALC-3 Budget'!$D$8),'CALC-3 Budget'!$D$8,'CALC-3 Budget'!$C$8))/1000000,"")</f>
        <v/>
      </c>
    </row>
    <row r="298">
      <c r="A298" s="30" t="n"/>
      <c r="B298" s="30" t="n"/>
      <c r="C298" s="30" t="n"/>
      <c r="D298" s="30" t="n"/>
      <c r="E298" s="30" t="n"/>
      <c r="F298" s="30" t="n"/>
      <c r="G298" s="30" t="n"/>
      <c r="H298" s="30" t="n"/>
      <c r="I298" s="30" t="n"/>
      <c r="J298" s="31">
        <f>IF(AND(ISNUMBER(F298),ISNUMBER(G298)),(F298*IF(ISNUMBER('CALC-3 Budget'!$D$7),'CALC-3 Budget'!$D$7,'CALC-3 Budget'!$C$7)+G298*IF(ISNUMBER('CALC-3 Budget'!$D$8),'CALC-3 Budget'!$D$8,'CALC-3 Budget'!$C$8))/1000000,"")</f>
        <v/>
      </c>
    </row>
    <row r="299">
      <c r="A299" s="30" t="n"/>
      <c r="B299" s="30" t="n"/>
      <c r="C299" s="30" t="n"/>
      <c r="D299" s="30" t="n"/>
      <c r="E299" s="30" t="n"/>
      <c r="F299" s="30" t="n"/>
      <c r="G299" s="30" t="n"/>
      <c r="H299" s="30" t="n"/>
      <c r="I299" s="30" t="n"/>
      <c r="J299" s="31">
        <f>IF(AND(ISNUMBER(F299),ISNUMBER(G299)),(F299*IF(ISNUMBER('CALC-3 Budget'!$D$7),'CALC-3 Budget'!$D$7,'CALC-3 Budget'!$C$7)+G299*IF(ISNUMBER('CALC-3 Budget'!$D$8),'CALC-3 Budget'!$D$8,'CALC-3 Budget'!$C$8))/1000000,"")</f>
        <v/>
      </c>
    </row>
    <row r="300">
      <c r="A300" s="30" t="n"/>
      <c r="B300" s="30" t="n"/>
      <c r="C300" s="30" t="n"/>
      <c r="D300" s="30" t="n"/>
      <c r="E300" s="30" t="n"/>
      <c r="F300" s="30" t="n"/>
      <c r="G300" s="30" t="n"/>
      <c r="H300" s="30" t="n"/>
      <c r="I300" s="30" t="n"/>
      <c r="J300" s="31">
        <f>IF(AND(ISNUMBER(F300),ISNUMBER(G300)),(F300*IF(ISNUMBER('CALC-3 Budget'!$D$7),'CALC-3 Budget'!$D$7,'CALC-3 Budget'!$C$7)+G300*IF(ISNUMBER('CALC-3 Budget'!$D$8),'CALC-3 Budget'!$D$8,'CALC-3 Budget'!$C$8))/1000000,"")</f>
        <v/>
      </c>
    </row>
    <row r="301">
      <c r="A301" s="30" t="n"/>
      <c r="B301" s="30" t="n"/>
      <c r="C301" s="30" t="n"/>
      <c r="D301" s="30" t="n"/>
      <c r="E301" s="30" t="n"/>
      <c r="F301" s="30" t="n"/>
      <c r="G301" s="30" t="n"/>
      <c r="H301" s="30" t="n"/>
      <c r="I301" s="30" t="n"/>
      <c r="J301" s="31">
        <f>IF(AND(ISNUMBER(F301),ISNUMBER(G301)),(F301*IF(ISNUMBER('CALC-3 Budget'!$D$7),'CALC-3 Budget'!$D$7,'CALC-3 Budget'!$C$7)+G301*IF(ISNUMBER('CALC-3 Budget'!$D$8),'CALC-3 Budget'!$D$8,'CALC-3 Budget'!$C$8))/1000000,"")</f>
        <v/>
      </c>
    </row>
    <row r="302">
      <c r="A302" s="30" t="n"/>
      <c r="B302" s="30" t="n"/>
      <c r="C302" s="30" t="n"/>
      <c r="D302" s="30" t="n"/>
      <c r="E302" s="30" t="n"/>
      <c r="F302" s="30" t="n"/>
      <c r="G302" s="30" t="n"/>
      <c r="H302" s="30" t="n"/>
      <c r="I302" s="30" t="n"/>
      <c r="J302" s="31">
        <f>IF(AND(ISNUMBER(F302),ISNUMBER(G302)),(F302*IF(ISNUMBER('CALC-3 Budget'!$D$7),'CALC-3 Budget'!$D$7,'CALC-3 Budget'!$C$7)+G302*IF(ISNUMBER('CALC-3 Budget'!$D$8),'CALC-3 Budget'!$D$8,'CALC-3 Budget'!$C$8))/1000000,"")</f>
        <v/>
      </c>
    </row>
    <row r="303">
      <c r="A303" s="30" t="n"/>
      <c r="B303" s="30" t="n"/>
      <c r="C303" s="30" t="n"/>
      <c r="D303" s="30" t="n"/>
      <c r="E303" s="30" t="n"/>
      <c r="F303" s="30" t="n"/>
      <c r="G303" s="30" t="n"/>
      <c r="H303" s="30" t="n"/>
      <c r="I303" s="30" t="n"/>
      <c r="J303" s="31">
        <f>IF(AND(ISNUMBER(F303),ISNUMBER(G303)),(F303*IF(ISNUMBER('CALC-3 Budget'!$D$7),'CALC-3 Budget'!$D$7,'CALC-3 Budget'!$C$7)+G303*IF(ISNUMBER('CALC-3 Budget'!$D$8),'CALC-3 Budget'!$D$8,'CALC-3 Budget'!$C$8))/1000000,"")</f>
        <v/>
      </c>
    </row>
    <row r="304">
      <c r="A304" s="30" t="n"/>
      <c r="B304" s="30" t="n"/>
      <c r="C304" s="30" t="n"/>
      <c r="D304" s="30" t="n"/>
      <c r="E304" s="30" t="n"/>
      <c r="F304" s="30" t="n"/>
      <c r="G304" s="30" t="n"/>
      <c r="H304" s="30" t="n"/>
      <c r="I304" s="30" t="n"/>
      <c r="J304" s="31">
        <f>IF(AND(ISNUMBER(F304),ISNUMBER(G304)),(F304*IF(ISNUMBER('CALC-3 Budget'!$D$7),'CALC-3 Budget'!$D$7,'CALC-3 Budget'!$C$7)+G304*IF(ISNUMBER('CALC-3 Budget'!$D$8),'CALC-3 Budget'!$D$8,'CALC-3 Budget'!$C$8))/1000000,"")</f>
        <v/>
      </c>
    </row>
    <row r="305">
      <c r="A305" s="30" t="n"/>
      <c r="B305" s="30" t="n"/>
      <c r="C305" s="30" t="n"/>
      <c r="D305" s="30" t="n"/>
      <c r="E305" s="30" t="n"/>
      <c r="F305" s="30" t="n"/>
      <c r="G305" s="30" t="n"/>
      <c r="H305" s="30" t="n"/>
      <c r="I305" s="30" t="n"/>
      <c r="J305" s="31">
        <f>IF(AND(ISNUMBER(F305),ISNUMBER(G305)),(F305*IF(ISNUMBER('CALC-3 Budget'!$D$7),'CALC-3 Budget'!$D$7,'CALC-3 Budget'!$C$7)+G305*IF(ISNUMBER('CALC-3 Budget'!$D$8),'CALC-3 Budget'!$D$8,'CALC-3 Budget'!$C$8))/1000000,"")</f>
        <v/>
      </c>
    </row>
    <row r="306">
      <c r="A306" s="30" t="n"/>
      <c r="B306" s="30" t="n"/>
      <c r="C306" s="30" t="n"/>
      <c r="D306" s="30" t="n"/>
      <c r="E306" s="30" t="n"/>
      <c r="F306" s="30" t="n"/>
      <c r="G306" s="30" t="n"/>
      <c r="H306" s="30" t="n"/>
      <c r="I306" s="30" t="n"/>
      <c r="J306" s="31">
        <f>IF(AND(ISNUMBER(F306),ISNUMBER(G306)),(F306*IF(ISNUMBER('CALC-3 Budget'!$D$7),'CALC-3 Budget'!$D$7,'CALC-3 Budget'!$C$7)+G306*IF(ISNUMBER('CALC-3 Budget'!$D$8),'CALC-3 Budget'!$D$8,'CALC-3 Budget'!$C$8))/1000000,"")</f>
        <v/>
      </c>
    </row>
    <row r="307">
      <c r="A307" s="30" t="n"/>
      <c r="B307" s="30" t="n"/>
      <c r="C307" s="30" t="n"/>
      <c r="D307" s="30" t="n"/>
      <c r="E307" s="30" t="n"/>
      <c r="F307" s="30" t="n"/>
      <c r="G307" s="30" t="n"/>
      <c r="H307" s="30" t="n"/>
      <c r="I307" s="30" t="n"/>
      <c r="J307" s="31">
        <f>IF(AND(ISNUMBER(F307),ISNUMBER(G307)),(F307*IF(ISNUMBER('CALC-3 Budget'!$D$7),'CALC-3 Budget'!$D$7,'CALC-3 Budget'!$C$7)+G307*IF(ISNUMBER('CALC-3 Budget'!$D$8),'CALC-3 Budget'!$D$8,'CALC-3 Budget'!$C$8))/1000000,"")</f>
        <v/>
      </c>
    </row>
    <row r="308">
      <c r="A308" s="30" t="n"/>
      <c r="B308" s="30" t="n"/>
      <c r="C308" s="30" t="n"/>
      <c r="D308" s="30" t="n"/>
      <c r="E308" s="30" t="n"/>
      <c r="F308" s="30" t="n"/>
      <c r="G308" s="30" t="n"/>
      <c r="H308" s="30" t="n"/>
      <c r="I308" s="30" t="n"/>
      <c r="J308" s="31">
        <f>IF(AND(ISNUMBER(F308),ISNUMBER(G308)),(F308*IF(ISNUMBER('CALC-3 Budget'!$D$7),'CALC-3 Budget'!$D$7,'CALC-3 Budget'!$C$7)+G308*IF(ISNUMBER('CALC-3 Budget'!$D$8),'CALC-3 Budget'!$D$8,'CALC-3 Budget'!$C$8))/1000000,"")</f>
        <v/>
      </c>
    </row>
    <row r="309">
      <c r="A309" s="30" t="n"/>
      <c r="B309" s="30" t="n"/>
      <c r="C309" s="30" t="n"/>
      <c r="D309" s="30" t="n"/>
      <c r="E309" s="30" t="n"/>
      <c r="F309" s="30" t="n"/>
      <c r="G309" s="30" t="n"/>
      <c r="H309" s="30" t="n"/>
      <c r="I309" s="30" t="n"/>
      <c r="J309" s="31">
        <f>IF(AND(ISNUMBER(F309),ISNUMBER(G309)),(F309*IF(ISNUMBER('CALC-3 Budget'!$D$7),'CALC-3 Budget'!$D$7,'CALC-3 Budget'!$C$7)+G309*IF(ISNUMBER('CALC-3 Budget'!$D$8),'CALC-3 Budget'!$D$8,'CALC-3 Budget'!$C$8))/1000000,"")</f>
        <v/>
      </c>
    </row>
    <row r="310">
      <c r="A310" s="30" t="n"/>
      <c r="B310" s="30" t="n"/>
      <c r="C310" s="30" t="n"/>
      <c r="D310" s="30" t="n"/>
      <c r="E310" s="30" t="n"/>
      <c r="F310" s="30" t="n"/>
      <c r="G310" s="30" t="n"/>
      <c r="H310" s="30" t="n"/>
      <c r="I310" s="30" t="n"/>
      <c r="J310" s="31">
        <f>IF(AND(ISNUMBER(F310),ISNUMBER(G310)),(F310*IF(ISNUMBER('CALC-3 Budget'!$D$7),'CALC-3 Budget'!$D$7,'CALC-3 Budget'!$C$7)+G310*IF(ISNUMBER('CALC-3 Budget'!$D$8),'CALC-3 Budget'!$D$8,'CALC-3 Budget'!$C$8))/1000000,"")</f>
        <v/>
      </c>
    </row>
    <row r="311">
      <c r="A311" s="30" t="n"/>
      <c r="B311" s="30" t="n"/>
      <c r="C311" s="30" t="n"/>
      <c r="D311" s="30" t="n"/>
      <c r="E311" s="30" t="n"/>
      <c r="F311" s="30" t="n"/>
      <c r="G311" s="30" t="n"/>
      <c r="H311" s="30" t="n"/>
      <c r="I311" s="30" t="n"/>
      <c r="J311" s="31">
        <f>IF(AND(ISNUMBER(F311),ISNUMBER(G311)),(F311*IF(ISNUMBER('CALC-3 Budget'!$D$7),'CALC-3 Budget'!$D$7,'CALC-3 Budget'!$C$7)+G311*IF(ISNUMBER('CALC-3 Budget'!$D$8),'CALC-3 Budget'!$D$8,'CALC-3 Budget'!$C$8))/1000000,"")</f>
        <v/>
      </c>
    </row>
    <row r="312">
      <c r="A312" s="30" t="n"/>
      <c r="B312" s="30" t="n"/>
      <c r="C312" s="30" t="n"/>
      <c r="D312" s="30" t="n"/>
      <c r="E312" s="30" t="n"/>
      <c r="F312" s="30" t="n"/>
      <c r="G312" s="30" t="n"/>
      <c r="H312" s="30" t="n"/>
      <c r="I312" s="30" t="n"/>
      <c r="J312" s="31">
        <f>IF(AND(ISNUMBER(F312),ISNUMBER(G312)),(F312*IF(ISNUMBER('CALC-3 Budget'!$D$7),'CALC-3 Budget'!$D$7,'CALC-3 Budget'!$C$7)+G312*IF(ISNUMBER('CALC-3 Budget'!$D$8),'CALC-3 Budget'!$D$8,'CALC-3 Budget'!$C$8))/1000000,"")</f>
        <v/>
      </c>
    </row>
    <row r="313">
      <c r="A313" s="30" t="n"/>
      <c r="B313" s="30" t="n"/>
      <c r="C313" s="30" t="n"/>
      <c r="D313" s="30" t="n"/>
      <c r="E313" s="30" t="n"/>
      <c r="F313" s="30" t="n"/>
      <c r="G313" s="30" t="n"/>
      <c r="H313" s="30" t="n"/>
      <c r="I313" s="30" t="n"/>
      <c r="J313" s="31">
        <f>IF(AND(ISNUMBER(F313),ISNUMBER(G313)),(F313*IF(ISNUMBER('CALC-3 Budget'!$D$7),'CALC-3 Budget'!$D$7,'CALC-3 Budget'!$C$7)+G313*IF(ISNUMBER('CALC-3 Budget'!$D$8),'CALC-3 Budget'!$D$8,'CALC-3 Budget'!$C$8))/1000000,"")</f>
        <v/>
      </c>
    </row>
    <row r="314">
      <c r="A314" s="30" t="n"/>
      <c r="B314" s="30" t="n"/>
      <c r="C314" s="30" t="n"/>
      <c r="D314" s="30" t="n"/>
      <c r="E314" s="30" t="n"/>
      <c r="F314" s="30" t="n"/>
      <c r="G314" s="30" t="n"/>
      <c r="H314" s="30" t="n"/>
      <c r="I314" s="30" t="n"/>
      <c r="J314" s="31">
        <f>IF(AND(ISNUMBER(F314),ISNUMBER(G314)),(F314*IF(ISNUMBER('CALC-3 Budget'!$D$7),'CALC-3 Budget'!$D$7,'CALC-3 Budget'!$C$7)+G314*IF(ISNUMBER('CALC-3 Budget'!$D$8),'CALC-3 Budget'!$D$8,'CALC-3 Budget'!$C$8))/1000000,"")</f>
        <v/>
      </c>
    </row>
    <row r="315">
      <c r="A315" s="30" t="n"/>
      <c r="B315" s="30" t="n"/>
      <c r="C315" s="30" t="n"/>
      <c r="D315" s="30" t="n"/>
      <c r="E315" s="30" t="n"/>
      <c r="F315" s="30" t="n"/>
      <c r="G315" s="30" t="n"/>
      <c r="H315" s="30" t="n"/>
      <c r="I315" s="30" t="n"/>
      <c r="J315" s="31">
        <f>IF(AND(ISNUMBER(F315),ISNUMBER(G315)),(F315*IF(ISNUMBER('CALC-3 Budget'!$D$7),'CALC-3 Budget'!$D$7,'CALC-3 Budget'!$C$7)+G315*IF(ISNUMBER('CALC-3 Budget'!$D$8),'CALC-3 Budget'!$D$8,'CALC-3 Budget'!$C$8))/1000000,"")</f>
        <v/>
      </c>
    </row>
    <row r="316">
      <c r="A316" s="30" t="n"/>
      <c r="B316" s="30" t="n"/>
      <c r="C316" s="30" t="n"/>
      <c r="D316" s="30" t="n"/>
      <c r="E316" s="30" t="n"/>
      <c r="F316" s="30" t="n"/>
      <c r="G316" s="30" t="n"/>
      <c r="H316" s="30" t="n"/>
      <c r="I316" s="30" t="n"/>
      <c r="J316" s="31">
        <f>IF(AND(ISNUMBER(F316),ISNUMBER(G316)),(F316*IF(ISNUMBER('CALC-3 Budget'!$D$7),'CALC-3 Budget'!$D$7,'CALC-3 Budget'!$C$7)+G316*IF(ISNUMBER('CALC-3 Budget'!$D$8),'CALC-3 Budget'!$D$8,'CALC-3 Budget'!$C$8))/1000000,"")</f>
        <v/>
      </c>
    </row>
    <row r="317">
      <c r="A317" s="30" t="n"/>
      <c r="B317" s="30" t="n"/>
      <c r="C317" s="30" t="n"/>
      <c r="D317" s="30" t="n"/>
      <c r="E317" s="30" t="n"/>
      <c r="F317" s="30" t="n"/>
      <c r="G317" s="30" t="n"/>
      <c r="H317" s="30" t="n"/>
      <c r="I317" s="30" t="n"/>
      <c r="J317" s="31">
        <f>IF(AND(ISNUMBER(F317),ISNUMBER(G317)),(F317*IF(ISNUMBER('CALC-3 Budget'!$D$7),'CALC-3 Budget'!$D$7,'CALC-3 Budget'!$C$7)+G317*IF(ISNUMBER('CALC-3 Budget'!$D$8),'CALC-3 Budget'!$D$8,'CALC-3 Budget'!$C$8))/1000000,"")</f>
        <v/>
      </c>
    </row>
    <row r="318">
      <c r="A318" s="30" t="n"/>
      <c r="B318" s="30" t="n"/>
      <c r="C318" s="30" t="n"/>
      <c r="D318" s="30" t="n"/>
      <c r="E318" s="30" t="n"/>
      <c r="F318" s="30" t="n"/>
      <c r="G318" s="30" t="n"/>
      <c r="H318" s="30" t="n"/>
      <c r="I318" s="30" t="n"/>
      <c r="J318" s="31">
        <f>IF(AND(ISNUMBER(F318),ISNUMBER(G318)),(F318*IF(ISNUMBER('CALC-3 Budget'!$D$7),'CALC-3 Budget'!$D$7,'CALC-3 Budget'!$C$7)+G318*IF(ISNUMBER('CALC-3 Budget'!$D$8),'CALC-3 Budget'!$D$8,'CALC-3 Budget'!$C$8))/1000000,"")</f>
        <v/>
      </c>
    </row>
    <row r="319">
      <c r="A319" s="30" t="n"/>
      <c r="B319" s="30" t="n"/>
      <c r="C319" s="30" t="n"/>
      <c r="D319" s="30" t="n"/>
      <c r="E319" s="30" t="n"/>
      <c r="F319" s="30" t="n"/>
      <c r="G319" s="30" t="n"/>
      <c r="H319" s="30" t="n"/>
      <c r="I319" s="30" t="n"/>
      <c r="J319" s="31">
        <f>IF(AND(ISNUMBER(F319),ISNUMBER(G319)),(F319*IF(ISNUMBER('CALC-3 Budget'!$D$7),'CALC-3 Budget'!$D$7,'CALC-3 Budget'!$C$7)+G319*IF(ISNUMBER('CALC-3 Budget'!$D$8),'CALC-3 Budget'!$D$8,'CALC-3 Budget'!$C$8))/1000000,"")</f>
        <v/>
      </c>
    </row>
    <row r="320">
      <c r="A320" s="30" t="n"/>
      <c r="B320" s="30" t="n"/>
      <c r="C320" s="30" t="n"/>
      <c r="D320" s="30" t="n"/>
      <c r="E320" s="30" t="n"/>
      <c r="F320" s="30" t="n"/>
      <c r="G320" s="30" t="n"/>
      <c r="H320" s="30" t="n"/>
      <c r="I320" s="30" t="n"/>
      <c r="J320" s="31">
        <f>IF(AND(ISNUMBER(F320),ISNUMBER(G320)),(F320*IF(ISNUMBER('CALC-3 Budget'!$D$7),'CALC-3 Budget'!$D$7,'CALC-3 Budget'!$C$7)+G320*IF(ISNUMBER('CALC-3 Budget'!$D$8),'CALC-3 Budget'!$D$8,'CALC-3 Budget'!$C$8))/1000000,"")</f>
        <v/>
      </c>
    </row>
    <row r="321">
      <c r="A321" s="30" t="n"/>
      <c r="B321" s="30" t="n"/>
      <c r="C321" s="30" t="n"/>
      <c r="D321" s="30" t="n"/>
      <c r="E321" s="30" t="n"/>
      <c r="F321" s="30" t="n"/>
      <c r="G321" s="30" t="n"/>
      <c r="H321" s="30" t="n"/>
      <c r="I321" s="30" t="n"/>
      <c r="J321" s="31">
        <f>IF(AND(ISNUMBER(F321),ISNUMBER(G321)),(F321*IF(ISNUMBER('CALC-3 Budget'!$D$7),'CALC-3 Budget'!$D$7,'CALC-3 Budget'!$C$7)+G321*IF(ISNUMBER('CALC-3 Budget'!$D$8),'CALC-3 Budget'!$D$8,'CALC-3 Budget'!$C$8))/1000000,"")</f>
        <v/>
      </c>
    </row>
    <row r="322">
      <c r="A322" s="30" t="n"/>
      <c r="B322" s="30" t="n"/>
      <c r="C322" s="30" t="n"/>
      <c r="D322" s="30" t="n"/>
      <c r="E322" s="30" t="n"/>
      <c r="F322" s="30" t="n"/>
      <c r="G322" s="30" t="n"/>
      <c r="H322" s="30" t="n"/>
      <c r="I322" s="30" t="n"/>
      <c r="J322" s="31">
        <f>IF(AND(ISNUMBER(F322),ISNUMBER(G322)),(F322*IF(ISNUMBER('CALC-3 Budget'!$D$7),'CALC-3 Budget'!$D$7,'CALC-3 Budget'!$C$7)+G322*IF(ISNUMBER('CALC-3 Budget'!$D$8),'CALC-3 Budget'!$D$8,'CALC-3 Budget'!$C$8))/1000000,"")</f>
        <v/>
      </c>
    </row>
    <row r="323">
      <c r="A323" s="30" t="n"/>
      <c r="B323" s="30" t="n"/>
      <c r="C323" s="30" t="n"/>
      <c r="D323" s="30" t="n"/>
      <c r="E323" s="30" t="n"/>
      <c r="F323" s="30" t="n"/>
      <c r="G323" s="30" t="n"/>
      <c r="H323" s="30" t="n"/>
      <c r="I323" s="30" t="n"/>
      <c r="J323" s="31">
        <f>IF(AND(ISNUMBER(F323),ISNUMBER(G323)),(F323*IF(ISNUMBER('CALC-3 Budget'!$D$7),'CALC-3 Budget'!$D$7,'CALC-3 Budget'!$C$7)+G323*IF(ISNUMBER('CALC-3 Budget'!$D$8),'CALC-3 Budget'!$D$8,'CALC-3 Budget'!$C$8))/1000000,"")</f>
        <v/>
      </c>
    </row>
    <row r="324">
      <c r="A324" s="30" t="n"/>
      <c r="B324" s="30" t="n"/>
      <c r="C324" s="30" t="n"/>
      <c r="D324" s="30" t="n"/>
      <c r="E324" s="30" t="n"/>
      <c r="F324" s="30" t="n"/>
      <c r="G324" s="30" t="n"/>
      <c r="H324" s="30" t="n"/>
      <c r="I324" s="30" t="n"/>
      <c r="J324" s="31">
        <f>IF(AND(ISNUMBER(F324),ISNUMBER(G324)),(F324*IF(ISNUMBER('CALC-3 Budget'!$D$7),'CALC-3 Budget'!$D$7,'CALC-3 Budget'!$C$7)+G324*IF(ISNUMBER('CALC-3 Budget'!$D$8),'CALC-3 Budget'!$D$8,'CALC-3 Budget'!$C$8))/1000000,"")</f>
        <v/>
      </c>
    </row>
    <row r="325">
      <c r="A325" s="30" t="n"/>
      <c r="B325" s="30" t="n"/>
      <c r="C325" s="30" t="n"/>
      <c r="D325" s="30" t="n"/>
      <c r="E325" s="30" t="n"/>
      <c r="F325" s="30" t="n"/>
      <c r="G325" s="30" t="n"/>
      <c r="H325" s="30" t="n"/>
      <c r="I325" s="30" t="n"/>
      <c r="J325" s="31">
        <f>IF(AND(ISNUMBER(F325),ISNUMBER(G325)),(F325*IF(ISNUMBER('CALC-3 Budget'!$D$7),'CALC-3 Budget'!$D$7,'CALC-3 Budget'!$C$7)+G325*IF(ISNUMBER('CALC-3 Budget'!$D$8),'CALC-3 Budget'!$D$8,'CALC-3 Budget'!$C$8))/1000000,"")</f>
        <v/>
      </c>
    </row>
    <row r="326">
      <c r="A326" s="30" t="n"/>
      <c r="B326" s="30" t="n"/>
      <c r="C326" s="30" t="n"/>
      <c r="D326" s="30" t="n"/>
      <c r="E326" s="30" t="n"/>
      <c r="F326" s="30" t="n"/>
      <c r="G326" s="30" t="n"/>
      <c r="H326" s="30" t="n"/>
      <c r="I326" s="30" t="n"/>
      <c r="J326" s="31">
        <f>IF(AND(ISNUMBER(F326),ISNUMBER(G326)),(F326*IF(ISNUMBER('CALC-3 Budget'!$D$7),'CALC-3 Budget'!$D$7,'CALC-3 Budget'!$C$7)+G326*IF(ISNUMBER('CALC-3 Budget'!$D$8),'CALC-3 Budget'!$D$8,'CALC-3 Budget'!$C$8))/1000000,"")</f>
        <v/>
      </c>
    </row>
    <row r="327">
      <c r="A327" s="30" t="n"/>
      <c r="B327" s="30" t="n"/>
      <c r="C327" s="30" t="n"/>
      <c r="D327" s="30" t="n"/>
      <c r="E327" s="30" t="n"/>
      <c r="F327" s="30" t="n"/>
      <c r="G327" s="30" t="n"/>
      <c r="H327" s="30" t="n"/>
      <c r="I327" s="30" t="n"/>
      <c r="J327" s="31">
        <f>IF(AND(ISNUMBER(F327),ISNUMBER(G327)),(F327*IF(ISNUMBER('CALC-3 Budget'!$D$7),'CALC-3 Budget'!$D$7,'CALC-3 Budget'!$C$7)+G327*IF(ISNUMBER('CALC-3 Budget'!$D$8),'CALC-3 Budget'!$D$8,'CALC-3 Budget'!$C$8))/1000000,"")</f>
        <v/>
      </c>
    </row>
    <row r="328">
      <c r="A328" s="30" t="n"/>
      <c r="B328" s="30" t="n"/>
      <c r="C328" s="30" t="n"/>
      <c r="D328" s="30" t="n"/>
      <c r="E328" s="30" t="n"/>
      <c r="F328" s="30" t="n"/>
      <c r="G328" s="30" t="n"/>
      <c r="H328" s="30" t="n"/>
      <c r="I328" s="30" t="n"/>
      <c r="J328" s="31">
        <f>IF(AND(ISNUMBER(F328),ISNUMBER(G328)),(F328*IF(ISNUMBER('CALC-3 Budget'!$D$7),'CALC-3 Budget'!$D$7,'CALC-3 Budget'!$C$7)+G328*IF(ISNUMBER('CALC-3 Budget'!$D$8),'CALC-3 Budget'!$D$8,'CALC-3 Budget'!$C$8))/1000000,"")</f>
        <v/>
      </c>
    </row>
    <row r="329">
      <c r="A329" s="30" t="n"/>
      <c r="B329" s="30" t="n"/>
      <c r="C329" s="30" t="n"/>
      <c r="D329" s="30" t="n"/>
      <c r="E329" s="30" t="n"/>
      <c r="F329" s="30" t="n"/>
      <c r="G329" s="30" t="n"/>
      <c r="H329" s="30" t="n"/>
      <c r="I329" s="30" t="n"/>
      <c r="J329" s="31">
        <f>IF(AND(ISNUMBER(F329),ISNUMBER(G329)),(F329*IF(ISNUMBER('CALC-3 Budget'!$D$7),'CALC-3 Budget'!$D$7,'CALC-3 Budget'!$C$7)+G329*IF(ISNUMBER('CALC-3 Budget'!$D$8),'CALC-3 Budget'!$D$8,'CALC-3 Budget'!$C$8))/1000000,"")</f>
        <v/>
      </c>
    </row>
    <row r="330">
      <c r="A330" s="30" t="n"/>
      <c r="B330" s="30" t="n"/>
      <c r="C330" s="30" t="n"/>
      <c r="D330" s="30" t="n"/>
      <c r="E330" s="30" t="n"/>
      <c r="F330" s="30" t="n"/>
      <c r="G330" s="30" t="n"/>
      <c r="H330" s="30" t="n"/>
      <c r="I330" s="30" t="n"/>
      <c r="J330" s="31">
        <f>IF(AND(ISNUMBER(F330),ISNUMBER(G330)),(F330*IF(ISNUMBER('CALC-3 Budget'!$D$7),'CALC-3 Budget'!$D$7,'CALC-3 Budget'!$C$7)+G330*IF(ISNUMBER('CALC-3 Budget'!$D$8),'CALC-3 Budget'!$D$8,'CALC-3 Budget'!$C$8))/1000000,"")</f>
        <v/>
      </c>
    </row>
    <row r="331">
      <c r="A331" s="30" t="n"/>
      <c r="B331" s="30" t="n"/>
      <c r="C331" s="30" t="n"/>
      <c r="D331" s="30" t="n"/>
      <c r="E331" s="30" t="n"/>
      <c r="F331" s="30" t="n"/>
      <c r="G331" s="30" t="n"/>
      <c r="H331" s="30" t="n"/>
      <c r="I331" s="30" t="n"/>
      <c r="J331" s="31">
        <f>IF(AND(ISNUMBER(F331),ISNUMBER(G331)),(F331*IF(ISNUMBER('CALC-3 Budget'!$D$7),'CALC-3 Budget'!$D$7,'CALC-3 Budget'!$C$7)+G331*IF(ISNUMBER('CALC-3 Budget'!$D$8),'CALC-3 Budget'!$D$8,'CALC-3 Budget'!$C$8))/1000000,"")</f>
        <v/>
      </c>
    </row>
    <row r="332">
      <c r="A332" s="30" t="n"/>
      <c r="B332" s="30" t="n"/>
      <c r="C332" s="30" t="n"/>
      <c r="D332" s="30" t="n"/>
      <c r="E332" s="30" t="n"/>
      <c r="F332" s="30" t="n"/>
      <c r="G332" s="30" t="n"/>
      <c r="H332" s="30" t="n"/>
      <c r="I332" s="30" t="n"/>
      <c r="J332" s="31">
        <f>IF(AND(ISNUMBER(F332),ISNUMBER(G332)),(F332*IF(ISNUMBER('CALC-3 Budget'!$D$7),'CALC-3 Budget'!$D$7,'CALC-3 Budget'!$C$7)+G332*IF(ISNUMBER('CALC-3 Budget'!$D$8),'CALC-3 Budget'!$D$8,'CALC-3 Budget'!$C$8))/1000000,"")</f>
        <v/>
      </c>
    </row>
    <row r="333">
      <c r="A333" s="30" t="n"/>
      <c r="B333" s="30" t="n"/>
      <c r="C333" s="30" t="n"/>
      <c r="D333" s="30" t="n"/>
      <c r="E333" s="30" t="n"/>
      <c r="F333" s="30" t="n"/>
      <c r="G333" s="30" t="n"/>
      <c r="H333" s="30" t="n"/>
      <c r="I333" s="30" t="n"/>
      <c r="J333" s="31">
        <f>IF(AND(ISNUMBER(F333),ISNUMBER(G333)),(F333*IF(ISNUMBER('CALC-3 Budget'!$D$7),'CALC-3 Budget'!$D$7,'CALC-3 Budget'!$C$7)+G333*IF(ISNUMBER('CALC-3 Budget'!$D$8),'CALC-3 Budget'!$D$8,'CALC-3 Budget'!$C$8))/1000000,"")</f>
        <v/>
      </c>
    </row>
    <row r="334">
      <c r="A334" s="30" t="n"/>
      <c r="B334" s="30" t="n"/>
      <c r="C334" s="30" t="n"/>
      <c r="D334" s="30" t="n"/>
      <c r="E334" s="30" t="n"/>
      <c r="F334" s="30" t="n"/>
      <c r="G334" s="30" t="n"/>
      <c r="H334" s="30" t="n"/>
      <c r="I334" s="30" t="n"/>
      <c r="J334" s="31">
        <f>IF(AND(ISNUMBER(F334),ISNUMBER(G334)),(F334*IF(ISNUMBER('CALC-3 Budget'!$D$7),'CALC-3 Budget'!$D$7,'CALC-3 Budget'!$C$7)+G334*IF(ISNUMBER('CALC-3 Budget'!$D$8),'CALC-3 Budget'!$D$8,'CALC-3 Budget'!$C$8))/1000000,"")</f>
        <v/>
      </c>
    </row>
    <row r="335">
      <c r="A335" s="30" t="n"/>
      <c r="B335" s="30" t="n"/>
      <c r="C335" s="30" t="n"/>
      <c r="D335" s="30" t="n"/>
      <c r="E335" s="30" t="n"/>
      <c r="F335" s="30" t="n"/>
      <c r="G335" s="30" t="n"/>
      <c r="H335" s="30" t="n"/>
      <c r="I335" s="30" t="n"/>
      <c r="J335" s="31">
        <f>IF(AND(ISNUMBER(F335),ISNUMBER(G335)),(F335*IF(ISNUMBER('CALC-3 Budget'!$D$7),'CALC-3 Budget'!$D$7,'CALC-3 Budget'!$C$7)+G335*IF(ISNUMBER('CALC-3 Budget'!$D$8),'CALC-3 Budget'!$D$8,'CALC-3 Budget'!$C$8))/1000000,"")</f>
        <v/>
      </c>
    </row>
    <row r="336">
      <c r="A336" s="30" t="n"/>
      <c r="B336" s="30" t="n"/>
      <c r="C336" s="30" t="n"/>
      <c r="D336" s="30" t="n"/>
      <c r="E336" s="30" t="n"/>
      <c r="F336" s="30" t="n"/>
      <c r="G336" s="30" t="n"/>
      <c r="H336" s="30" t="n"/>
      <c r="I336" s="30" t="n"/>
      <c r="J336" s="31">
        <f>IF(AND(ISNUMBER(F336),ISNUMBER(G336)),(F336*IF(ISNUMBER('CALC-3 Budget'!$D$7),'CALC-3 Budget'!$D$7,'CALC-3 Budget'!$C$7)+G336*IF(ISNUMBER('CALC-3 Budget'!$D$8),'CALC-3 Budget'!$D$8,'CALC-3 Budget'!$C$8))/1000000,"")</f>
        <v/>
      </c>
    </row>
    <row r="337">
      <c r="A337" s="30" t="n"/>
      <c r="B337" s="30" t="n"/>
      <c r="C337" s="30" t="n"/>
      <c r="D337" s="30" t="n"/>
      <c r="E337" s="30" t="n"/>
      <c r="F337" s="30" t="n"/>
      <c r="G337" s="30" t="n"/>
      <c r="H337" s="30" t="n"/>
      <c r="I337" s="30" t="n"/>
      <c r="J337" s="31">
        <f>IF(AND(ISNUMBER(F337),ISNUMBER(G337)),(F337*IF(ISNUMBER('CALC-3 Budget'!$D$7),'CALC-3 Budget'!$D$7,'CALC-3 Budget'!$C$7)+G337*IF(ISNUMBER('CALC-3 Budget'!$D$8),'CALC-3 Budget'!$D$8,'CALC-3 Budget'!$C$8))/1000000,"")</f>
        <v/>
      </c>
    </row>
    <row r="338">
      <c r="A338" s="30" t="n"/>
      <c r="B338" s="30" t="n"/>
      <c r="C338" s="30" t="n"/>
      <c r="D338" s="30" t="n"/>
      <c r="E338" s="30" t="n"/>
      <c r="F338" s="30" t="n"/>
      <c r="G338" s="30" t="n"/>
      <c r="H338" s="30" t="n"/>
      <c r="I338" s="30" t="n"/>
      <c r="J338" s="31">
        <f>IF(AND(ISNUMBER(F338),ISNUMBER(G338)),(F338*IF(ISNUMBER('CALC-3 Budget'!$D$7),'CALC-3 Budget'!$D$7,'CALC-3 Budget'!$C$7)+G338*IF(ISNUMBER('CALC-3 Budget'!$D$8),'CALC-3 Budget'!$D$8,'CALC-3 Budget'!$C$8))/1000000,"")</f>
        <v/>
      </c>
    </row>
    <row r="339">
      <c r="A339" s="30" t="n"/>
      <c r="B339" s="30" t="n"/>
      <c r="C339" s="30" t="n"/>
      <c r="D339" s="30" t="n"/>
      <c r="E339" s="30" t="n"/>
      <c r="F339" s="30" t="n"/>
      <c r="G339" s="30" t="n"/>
      <c r="H339" s="30" t="n"/>
      <c r="I339" s="30" t="n"/>
      <c r="J339" s="31">
        <f>IF(AND(ISNUMBER(F339),ISNUMBER(G339)),(F339*IF(ISNUMBER('CALC-3 Budget'!$D$7),'CALC-3 Budget'!$D$7,'CALC-3 Budget'!$C$7)+G339*IF(ISNUMBER('CALC-3 Budget'!$D$8),'CALC-3 Budget'!$D$8,'CALC-3 Budget'!$C$8))/1000000,"")</f>
        <v/>
      </c>
    </row>
    <row r="340">
      <c r="A340" s="30" t="n"/>
      <c r="B340" s="30" t="n"/>
      <c r="C340" s="30" t="n"/>
      <c r="D340" s="30" t="n"/>
      <c r="E340" s="30" t="n"/>
      <c r="F340" s="30" t="n"/>
      <c r="G340" s="30" t="n"/>
      <c r="H340" s="30" t="n"/>
      <c r="I340" s="30" t="n"/>
      <c r="J340" s="31">
        <f>IF(AND(ISNUMBER(F340),ISNUMBER(G340)),(F340*IF(ISNUMBER('CALC-3 Budget'!$D$7),'CALC-3 Budget'!$D$7,'CALC-3 Budget'!$C$7)+G340*IF(ISNUMBER('CALC-3 Budget'!$D$8),'CALC-3 Budget'!$D$8,'CALC-3 Budget'!$C$8))/1000000,"")</f>
        <v/>
      </c>
    </row>
    <row r="341">
      <c r="A341" s="30" t="n"/>
      <c r="B341" s="30" t="n"/>
      <c r="C341" s="30" t="n"/>
      <c r="D341" s="30" t="n"/>
      <c r="E341" s="30" t="n"/>
      <c r="F341" s="30" t="n"/>
      <c r="G341" s="30" t="n"/>
      <c r="H341" s="30" t="n"/>
      <c r="I341" s="30" t="n"/>
      <c r="J341" s="31">
        <f>IF(AND(ISNUMBER(F341),ISNUMBER(G341)),(F341*IF(ISNUMBER('CALC-3 Budget'!$D$7),'CALC-3 Budget'!$D$7,'CALC-3 Budget'!$C$7)+G341*IF(ISNUMBER('CALC-3 Budget'!$D$8),'CALC-3 Budget'!$D$8,'CALC-3 Budget'!$C$8))/1000000,"")</f>
        <v/>
      </c>
    </row>
    <row r="342">
      <c r="A342" s="30" t="n"/>
      <c r="B342" s="30" t="n"/>
      <c r="C342" s="30" t="n"/>
      <c r="D342" s="30" t="n"/>
      <c r="E342" s="30" t="n"/>
      <c r="F342" s="30" t="n"/>
      <c r="G342" s="30" t="n"/>
      <c r="H342" s="30" t="n"/>
      <c r="I342" s="30" t="n"/>
      <c r="J342" s="31">
        <f>IF(AND(ISNUMBER(F342),ISNUMBER(G342)),(F342*IF(ISNUMBER('CALC-3 Budget'!$D$7),'CALC-3 Budget'!$D$7,'CALC-3 Budget'!$C$7)+G342*IF(ISNUMBER('CALC-3 Budget'!$D$8),'CALC-3 Budget'!$D$8,'CALC-3 Budget'!$C$8))/1000000,"")</f>
        <v/>
      </c>
    </row>
    <row r="343">
      <c r="A343" s="30" t="n"/>
      <c r="B343" s="30" t="n"/>
      <c r="C343" s="30" t="n"/>
      <c r="D343" s="30" t="n"/>
      <c r="E343" s="30" t="n"/>
      <c r="F343" s="30" t="n"/>
      <c r="G343" s="30" t="n"/>
      <c r="H343" s="30" t="n"/>
      <c r="I343" s="30" t="n"/>
      <c r="J343" s="31">
        <f>IF(AND(ISNUMBER(F343),ISNUMBER(G343)),(F343*IF(ISNUMBER('CALC-3 Budget'!$D$7),'CALC-3 Budget'!$D$7,'CALC-3 Budget'!$C$7)+G343*IF(ISNUMBER('CALC-3 Budget'!$D$8),'CALC-3 Budget'!$D$8,'CALC-3 Budget'!$C$8))/1000000,"")</f>
        <v/>
      </c>
    </row>
    <row r="344">
      <c r="A344" s="30" t="n"/>
      <c r="B344" s="30" t="n"/>
      <c r="C344" s="30" t="n"/>
      <c r="D344" s="30" t="n"/>
      <c r="E344" s="30" t="n"/>
      <c r="F344" s="30" t="n"/>
      <c r="G344" s="30" t="n"/>
      <c r="H344" s="30" t="n"/>
      <c r="I344" s="30" t="n"/>
      <c r="J344" s="31">
        <f>IF(AND(ISNUMBER(F344),ISNUMBER(G344)),(F344*IF(ISNUMBER('CALC-3 Budget'!$D$7),'CALC-3 Budget'!$D$7,'CALC-3 Budget'!$C$7)+G344*IF(ISNUMBER('CALC-3 Budget'!$D$8),'CALC-3 Budget'!$D$8,'CALC-3 Budget'!$C$8))/1000000,"")</f>
        <v/>
      </c>
    </row>
    <row r="345">
      <c r="A345" s="30" t="n"/>
      <c r="B345" s="30" t="n"/>
      <c r="C345" s="30" t="n"/>
      <c r="D345" s="30" t="n"/>
      <c r="E345" s="30" t="n"/>
      <c r="F345" s="30" t="n"/>
      <c r="G345" s="30" t="n"/>
      <c r="H345" s="30" t="n"/>
      <c r="I345" s="30" t="n"/>
      <c r="J345" s="31">
        <f>IF(AND(ISNUMBER(F345),ISNUMBER(G345)),(F345*IF(ISNUMBER('CALC-3 Budget'!$D$7),'CALC-3 Budget'!$D$7,'CALC-3 Budget'!$C$7)+G345*IF(ISNUMBER('CALC-3 Budget'!$D$8),'CALC-3 Budget'!$D$8,'CALC-3 Budget'!$C$8))/1000000,"")</f>
        <v/>
      </c>
    </row>
    <row r="346">
      <c r="A346" s="30" t="n"/>
      <c r="B346" s="30" t="n"/>
      <c r="C346" s="30" t="n"/>
      <c r="D346" s="30" t="n"/>
      <c r="E346" s="30" t="n"/>
      <c r="F346" s="30" t="n"/>
      <c r="G346" s="30" t="n"/>
      <c r="H346" s="30" t="n"/>
      <c r="I346" s="30" t="n"/>
      <c r="J346" s="31">
        <f>IF(AND(ISNUMBER(F346),ISNUMBER(G346)),(F346*IF(ISNUMBER('CALC-3 Budget'!$D$7),'CALC-3 Budget'!$D$7,'CALC-3 Budget'!$C$7)+G346*IF(ISNUMBER('CALC-3 Budget'!$D$8),'CALC-3 Budget'!$D$8,'CALC-3 Budget'!$C$8))/1000000,"")</f>
        <v/>
      </c>
    </row>
    <row r="347">
      <c r="A347" s="30" t="n"/>
      <c r="B347" s="30" t="n"/>
      <c r="C347" s="30" t="n"/>
      <c r="D347" s="30" t="n"/>
      <c r="E347" s="30" t="n"/>
      <c r="F347" s="30" t="n"/>
      <c r="G347" s="30" t="n"/>
      <c r="H347" s="30" t="n"/>
      <c r="I347" s="30" t="n"/>
      <c r="J347" s="31">
        <f>IF(AND(ISNUMBER(F347),ISNUMBER(G347)),(F347*IF(ISNUMBER('CALC-3 Budget'!$D$7),'CALC-3 Budget'!$D$7,'CALC-3 Budget'!$C$7)+G347*IF(ISNUMBER('CALC-3 Budget'!$D$8),'CALC-3 Budget'!$D$8,'CALC-3 Budget'!$C$8))/1000000,"")</f>
        <v/>
      </c>
    </row>
    <row r="348">
      <c r="A348" s="30" t="n"/>
      <c r="B348" s="30" t="n"/>
      <c r="C348" s="30" t="n"/>
      <c r="D348" s="30" t="n"/>
      <c r="E348" s="30" t="n"/>
      <c r="F348" s="30" t="n"/>
      <c r="G348" s="30" t="n"/>
      <c r="H348" s="30" t="n"/>
      <c r="I348" s="30" t="n"/>
      <c r="J348" s="31">
        <f>IF(AND(ISNUMBER(F348),ISNUMBER(G348)),(F348*IF(ISNUMBER('CALC-3 Budget'!$D$7),'CALC-3 Budget'!$D$7,'CALC-3 Budget'!$C$7)+G348*IF(ISNUMBER('CALC-3 Budget'!$D$8),'CALC-3 Budget'!$D$8,'CALC-3 Budget'!$C$8))/1000000,"")</f>
        <v/>
      </c>
    </row>
    <row r="349">
      <c r="A349" s="30" t="n"/>
      <c r="B349" s="30" t="n"/>
      <c r="C349" s="30" t="n"/>
      <c r="D349" s="30" t="n"/>
      <c r="E349" s="30" t="n"/>
      <c r="F349" s="30" t="n"/>
      <c r="G349" s="30" t="n"/>
      <c r="H349" s="30" t="n"/>
      <c r="I349" s="30" t="n"/>
      <c r="J349" s="31">
        <f>IF(AND(ISNUMBER(F349),ISNUMBER(G349)),(F349*IF(ISNUMBER('CALC-3 Budget'!$D$7),'CALC-3 Budget'!$D$7,'CALC-3 Budget'!$C$7)+G349*IF(ISNUMBER('CALC-3 Budget'!$D$8),'CALC-3 Budget'!$D$8,'CALC-3 Budget'!$C$8))/1000000,"")</f>
        <v/>
      </c>
    </row>
    <row r="350">
      <c r="A350" s="30" t="n"/>
      <c r="B350" s="30" t="n"/>
      <c r="C350" s="30" t="n"/>
      <c r="D350" s="30" t="n"/>
      <c r="E350" s="30" t="n"/>
      <c r="F350" s="30" t="n"/>
      <c r="G350" s="30" t="n"/>
      <c r="H350" s="30" t="n"/>
      <c r="I350" s="30" t="n"/>
      <c r="J350" s="31">
        <f>IF(AND(ISNUMBER(F350),ISNUMBER(G350)),(F350*IF(ISNUMBER('CALC-3 Budget'!$D$7),'CALC-3 Budget'!$D$7,'CALC-3 Budget'!$C$7)+G350*IF(ISNUMBER('CALC-3 Budget'!$D$8),'CALC-3 Budget'!$D$8,'CALC-3 Budget'!$C$8))/1000000,"")</f>
        <v/>
      </c>
    </row>
    <row r="351">
      <c r="A351" s="30" t="n"/>
      <c r="B351" s="30" t="n"/>
      <c r="C351" s="30" t="n"/>
      <c r="D351" s="30" t="n"/>
      <c r="E351" s="30" t="n"/>
      <c r="F351" s="30" t="n"/>
      <c r="G351" s="30" t="n"/>
      <c r="H351" s="30" t="n"/>
      <c r="I351" s="30" t="n"/>
      <c r="J351" s="31">
        <f>IF(AND(ISNUMBER(F351),ISNUMBER(G351)),(F351*IF(ISNUMBER('CALC-3 Budget'!$D$7),'CALC-3 Budget'!$D$7,'CALC-3 Budget'!$C$7)+G351*IF(ISNUMBER('CALC-3 Budget'!$D$8),'CALC-3 Budget'!$D$8,'CALC-3 Budget'!$C$8))/1000000,"")</f>
        <v/>
      </c>
    </row>
    <row r="352">
      <c r="A352" s="30" t="n"/>
      <c r="B352" s="30" t="n"/>
      <c r="C352" s="30" t="n"/>
      <c r="D352" s="30" t="n"/>
      <c r="E352" s="30" t="n"/>
      <c r="F352" s="30" t="n"/>
      <c r="G352" s="30" t="n"/>
      <c r="H352" s="30" t="n"/>
      <c r="I352" s="30" t="n"/>
      <c r="J352" s="31">
        <f>IF(AND(ISNUMBER(F352),ISNUMBER(G352)),(F352*IF(ISNUMBER('CALC-3 Budget'!$D$7),'CALC-3 Budget'!$D$7,'CALC-3 Budget'!$C$7)+G352*IF(ISNUMBER('CALC-3 Budget'!$D$8),'CALC-3 Budget'!$D$8,'CALC-3 Budget'!$C$8))/1000000,"")</f>
        <v/>
      </c>
    </row>
    <row r="353">
      <c r="A353" s="30" t="n"/>
      <c r="B353" s="30" t="n"/>
      <c r="C353" s="30" t="n"/>
      <c r="D353" s="30" t="n"/>
      <c r="E353" s="30" t="n"/>
      <c r="F353" s="30" t="n"/>
      <c r="G353" s="30" t="n"/>
      <c r="H353" s="30" t="n"/>
      <c r="I353" s="30" t="n"/>
      <c r="J353" s="31">
        <f>IF(AND(ISNUMBER(F353),ISNUMBER(G353)),(F353*IF(ISNUMBER('CALC-3 Budget'!$D$7),'CALC-3 Budget'!$D$7,'CALC-3 Budget'!$C$7)+G353*IF(ISNUMBER('CALC-3 Budget'!$D$8),'CALC-3 Budget'!$D$8,'CALC-3 Budget'!$C$8))/1000000,"")</f>
        <v/>
      </c>
    </row>
    <row r="354">
      <c r="A354" s="30" t="n"/>
      <c r="B354" s="30" t="n"/>
      <c r="C354" s="30" t="n"/>
      <c r="D354" s="30" t="n"/>
      <c r="E354" s="30" t="n"/>
      <c r="F354" s="30" t="n"/>
      <c r="G354" s="30" t="n"/>
      <c r="H354" s="30" t="n"/>
      <c r="I354" s="30" t="n"/>
      <c r="J354" s="31">
        <f>IF(AND(ISNUMBER(F354),ISNUMBER(G354)),(F354*IF(ISNUMBER('CALC-3 Budget'!$D$7),'CALC-3 Budget'!$D$7,'CALC-3 Budget'!$C$7)+G354*IF(ISNUMBER('CALC-3 Budget'!$D$8),'CALC-3 Budget'!$D$8,'CALC-3 Budget'!$C$8))/1000000,"")</f>
        <v/>
      </c>
    </row>
    <row r="355">
      <c r="A355" s="30" t="n"/>
      <c r="B355" s="30" t="n"/>
      <c r="C355" s="30" t="n"/>
      <c r="D355" s="30" t="n"/>
      <c r="E355" s="30" t="n"/>
      <c r="F355" s="30" t="n"/>
      <c r="G355" s="30" t="n"/>
      <c r="H355" s="30" t="n"/>
      <c r="I355" s="30" t="n"/>
      <c r="J355" s="31">
        <f>IF(AND(ISNUMBER(F355),ISNUMBER(G355)),(F355*IF(ISNUMBER('CALC-3 Budget'!$D$7),'CALC-3 Budget'!$D$7,'CALC-3 Budget'!$C$7)+G355*IF(ISNUMBER('CALC-3 Budget'!$D$8),'CALC-3 Budget'!$D$8,'CALC-3 Budget'!$C$8))/1000000,"")</f>
        <v/>
      </c>
    </row>
    <row r="356">
      <c r="A356" s="30" t="n"/>
      <c r="B356" s="30" t="n"/>
      <c r="C356" s="30" t="n"/>
      <c r="D356" s="30" t="n"/>
      <c r="E356" s="30" t="n"/>
      <c r="F356" s="30" t="n"/>
      <c r="G356" s="30" t="n"/>
      <c r="H356" s="30" t="n"/>
      <c r="I356" s="30" t="n"/>
      <c r="J356" s="31">
        <f>IF(AND(ISNUMBER(F356),ISNUMBER(G356)),(F356*IF(ISNUMBER('CALC-3 Budget'!$D$7),'CALC-3 Budget'!$D$7,'CALC-3 Budget'!$C$7)+G356*IF(ISNUMBER('CALC-3 Budget'!$D$8),'CALC-3 Budget'!$D$8,'CALC-3 Budget'!$C$8))/1000000,"")</f>
        <v/>
      </c>
    </row>
    <row r="357">
      <c r="A357" s="30" t="n"/>
      <c r="B357" s="30" t="n"/>
      <c r="C357" s="30" t="n"/>
      <c r="D357" s="30" t="n"/>
      <c r="E357" s="30" t="n"/>
      <c r="F357" s="30" t="n"/>
      <c r="G357" s="30" t="n"/>
      <c r="H357" s="30" t="n"/>
      <c r="I357" s="30" t="n"/>
      <c r="J357" s="31">
        <f>IF(AND(ISNUMBER(F357),ISNUMBER(G357)),(F357*IF(ISNUMBER('CALC-3 Budget'!$D$7),'CALC-3 Budget'!$D$7,'CALC-3 Budget'!$C$7)+G357*IF(ISNUMBER('CALC-3 Budget'!$D$8),'CALC-3 Budget'!$D$8,'CALC-3 Budget'!$C$8))/1000000,"")</f>
        <v/>
      </c>
    </row>
    <row r="358">
      <c r="A358" s="30" t="n"/>
      <c r="B358" s="30" t="n"/>
      <c r="C358" s="30" t="n"/>
      <c r="D358" s="30" t="n"/>
      <c r="E358" s="30" t="n"/>
      <c r="F358" s="30" t="n"/>
      <c r="G358" s="30" t="n"/>
      <c r="H358" s="30" t="n"/>
      <c r="I358" s="30" t="n"/>
      <c r="J358" s="31">
        <f>IF(AND(ISNUMBER(F358),ISNUMBER(G358)),(F358*IF(ISNUMBER('CALC-3 Budget'!$D$7),'CALC-3 Budget'!$D$7,'CALC-3 Budget'!$C$7)+G358*IF(ISNUMBER('CALC-3 Budget'!$D$8),'CALC-3 Budget'!$D$8,'CALC-3 Budget'!$C$8))/1000000,"")</f>
        <v/>
      </c>
    </row>
    <row r="359">
      <c r="A359" s="30" t="n"/>
      <c r="B359" s="30" t="n"/>
      <c r="C359" s="30" t="n"/>
      <c r="D359" s="30" t="n"/>
      <c r="E359" s="30" t="n"/>
      <c r="F359" s="30" t="n"/>
      <c r="G359" s="30" t="n"/>
      <c r="H359" s="30" t="n"/>
      <c r="I359" s="30" t="n"/>
      <c r="J359" s="31">
        <f>IF(AND(ISNUMBER(F359),ISNUMBER(G359)),(F359*IF(ISNUMBER('CALC-3 Budget'!$D$7),'CALC-3 Budget'!$D$7,'CALC-3 Budget'!$C$7)+G359*IF(ISNUMBER('CALC-3 Budget'!$D$8),'CALC-3 Budget'!$D$8,'CALC-3 Budget'!$C$8))/1000000,"")</f>
        <v/>
      </c>
    </row>
    <row r="360">
      <c r="A360" s="30" t="n"/>
      <c r="B360" s="30" t="n"/>
      <c r="C360" s="30" t="n"/>
      <c r="D360" s="30" t="n"/>
      <c r="E360" s="30" t="n"/>
      <c r="F360" s="30" t="n"/>
      <c r="G360" s="30" t="n"/>
      <c r="H360" s="30" t="n"/>
      <c r="I360" s="30" t="n"/>
      <c r="J360" s="31">
        <f>IF(AND(ISNUMBER(F360),ISNUMBER(G360)),(F360*IF(ISNUMBER('CALC-3 Budget'!$D$7),'CALC-3 Budget'!$D$7,'CALC-3 Budget'!$C$7)+G360*IF(ISNUMBER('CALC-3 Budget'!$D$8),'CALC-3 Budget'!$D$8,'CALC-3 Budget'!$C$8))/1000000,"")</f>
        <v/>
      </c>
    </row>
    <row r="361">
      <c r="A361" s="30" t="n"/>
      <c r="B361" s="30" t="n"/>
      <c r="C361" s="30" t="n"/>
      <c r="D361" s="30" t="n"/>
      <c r="E361" s="30" t="n"/>
      <c r="F361" s="30" t="n"/>
      <c r="G361" s="30" t="n"/>
      <c r="H361" s="30" t="n"/>
      <c r="I361" s="30" t="n"/>
      <c r="J361" s="31">
        <f>IF(AND(ISNUMBER(F361),ISNUMBER(G361)),(F361*IF(ISNUMBER('CALC-3 Budget'!$D$7),'CALC-3 Budget'!$D$7,'CALC-3 Budget'!$C$7)+G361*IF(ISNUMBER('CALC-3 Budget'!$D$8),'CALC-3 Budget'!$D$8,'CALC-3 Budget'!$C$8))/1000000,"")</f>
        <v/>
      </c>
    </row>
    <row r="362">
      <c r="A362" s="30" t="n"/>
      <c r="B362" s="30" t="n"/>
      <c r="C362" s="30" t="n"/>
      <c r="D362" s="30" t="n"/>
      <c r="E362" s="30" t="n"/>
      <c r="F362" s="30" t="n"/>
      <c r="G362" s="30" t="n"/>
      <c r="H362" s="30" t="n"/>
      <c r="I362" s="30" t="n"/>
      <c r="J362" s="31">
        <f>IF(AND(ISNUMBER(F362),ISNUMBER(G362)),(F362*IF(ISNUMBER('CALC-3 Budget'!$D$7),'CALC-3 Budget'!$D$7,'CALC-3 Budget'!$C$7)+G362*IF(ISNUMBER('CALC-3 Budget'!$D$8),'CALC-3 Budget'!$D$8,'CALC-3 Budget'!$C$8))/1000000,"")</f>
        <v/>
      </c>
    </row>
    <row r="363">
      <c r="A363" s="30" t="n"/>
      <c r="B363" s="30" t="n"/>
      <c r="C363" s="30" t="n"/>
      <c r="D363" s="30" t="n"/>
      <c r="E363" s="30" t="n"/>
      <c r="F363" s="30" t="n"/>
      <c r="G363" s="30" t="n"/>
      <c r="H363" s="30" t="n"/>
      <c r="I363" s="30" t="n"/>
      <c r="J363" s="31">
        <f>IF(AND(ISNUMBER(F363),ISNUMBER(G363)),(F363*IF(ISNUMBER('CALC-3 Budget'!$D$7),'CALC-3 Budget'!$D$7,'CALC-3 Budget'!$C$7)+G363*IF(ISNUMBER('CALC-3 Budget'!$D$8),'CALC-3 Budget'!$D$8,'CALC-3 Budget'!$C$8))/1000000,"")</f>
        <v/>
      </c>
    </row>
    <row r="364">
      <c r="A364" s="30" t="n"/>
      <c r="B364" s="30" t="n"/>
      <c r="C364" s="30" t="n"/>
      <c r="D364" s="30" t="n"/>
      <c r="E364" s="30" t="n"/>
      <c r="F364" s="30" t="n"/>
      <c r="G364" s="30" t="n"/>
      <c r="H364" s="30" t="n"/>
      <c r="I364" s="30" t="n"/>
      <c r="J364" s="31">
        <f>IF(AND(ISNUMBER(F364),ISNUMBER(G364)),(F364*IF(ISNUMBER('CALC-3 Budget'!$D$7),'CALC-3 Budget'!$D$7,'CALC-3 Budget'!$C$7)+G364*IF(ISNUMBER('CALC-3 Budget'!$D$8),'CALC-3 Budget'!$D$8,'CALC-3 Budget'!$C$8))/1000000,"")</f>
        <v/>
      </c>
    </row>
    <row r="365">
      <c r="A365" s="30" t="n"/>
      <c r="B365" s="30" t="n"/>
      <c r="C365" s="30" t="n"/>
      <c r="D365" s="30" t="n"/>
      <c r="E365" s="30" t="n"/>
      <c r="F365" s="30" t="n"/>
      <c r="G365" s="30" t="n"/>
      <c r="H365" s="30" t="n"/>
      <c r="I365" s="30" t="n"/>
      <c r="J365" s="31">
        <f>IF(AND(ISNUMBER(F365),ISNUMBER(G365)),(F365*IF(ISNUMBER('CALC-3 Budget'!$D$7),'CALC-3 Budget'!$D$7,'CALC-3 Budget'!$C$7)+G365*IF(ISNUMBER('CALC-3 Budget'!$D$8),'CALC-3 Budget'!$D$8,'CALC-3 Budget'!$C$8))/1000000,"")</f>
        <v/>
      </c>
    </row>
    <row r="366">
      <c r="A366" s="30" t="n"/>
      <c r="B366" s="30" t="n"/>
      <c r="C366" s="30" t="n"/>
      <c r="D366" s="30" t="n"/>
      <c r="E366" s="30" t="n"/>
      <c r="F366" s="30" t="n"/>
      <c r="G366" s="30" t="n"/>
      <c r="H366" s="30" t="n"/>
      <c r="I366" s="30" t="n"/>
      <c r="J366" s="31">
        <f>IF(AND(ISNUMBER(F366),ISNUMBER(G366)),(F366*IF(ISNUMBER('CALC-3 Budget'!$D$7),'CALC-3 Budget'!$D$7,'CALC-3 Budget'!$C$7)+G366*IF(ISNUMBER('CALC-3 Budget'!$D$8),'CALC-3 Budget'!$D$8,'CALC-3 Budget'!$C$8))/1000000,"")</f>
        <v/>
      </c>
    </row>
    <row r="367">
      <c r="A367" s="30" t="n"/>
      <c r="B367" s="30" t="n"/>
      <c r="C367" s="30" t="n"/>
      <c r="D367" s="30" t="n"/>
      <c r="E367" s="30" t="n"/>
      <c r="F367" s="30" t="n"/>
      <c r="G367" s="30" t="n"/>
      <c r="H367" s="30" t="n"/>
      <c r="I367" s="30" t="n"/>
      <c r="J367" s="31">
        <f>IF(AND(ISNUMBER(F367),ISNUMBER(G367)),(F367*IF(ISNUMBER('CALC-3 Budget'!$D$7),'CALC-3 Budget'!$D$7,'CALC-3 Budget'!$C$7)+G367*IF(ISNUMBER('CALC-3 Budget'!$D$8),'CALC-3 Budget'!$D$8,'CALC-3 Budget'!$C$8))/1000000,"")</f>
        <v/>
      </c>
    </row>
    <row r="368">
      <c r="A368" s="30" t="n"/>
      <c r="B368" s="30" t="n"/>
      <c r="C368" s="30" t="n"/>
      <c r="D368" s="30" t="n"/>
      <c r="E368" s="30" t="n"/>
      <c r="F368" s="30" t="n"/>
      <c r="G368" s="30" t="n"/>
      <c r="H368" s="30" t="n"/>
      <c r="I368" s="30" t="n"/>
      <c r="J368" s="31">
        <f>IF(AND(ISNUMBER(F368),ISNUMBER(G368)),(F368*IF(ISNUMBER('CALC-3 Budget'!$D$7),'CALC-3 Budget'!$D$7,'CALC-3 Budget'!$C$7)+G368*IF(ISNUMBER('CALC-3 Budget'!$D$8),'CALC-3 Budget'!$D$8,'CALC-3 Budget'!$C$8))/1000000,"")</f>
        <v/>
      </c>
    </row>
    <row r="369">
      <c r="A369" s="30" t="n"/>
      <c r="B369" s="30" t="n"/>
      <c r="C369" s="30" t="n"/>
      <c r="D369" s="30" t="n"/>
      <c r="E369" s="30" t="n"/>
      <c r="F369" s="30" t="n"/>
      <c r="G369" s="30" t="n"/>
      <c r="H369" s="30" t="n"/>
      <c r="I369" s="30" t="n"/>
      <c r="J369" s="31">
        <f>IF(AND(ISNUMBER(F369),ISNUMBER(G369)),(F369*IF(ISNUMBER('CALC-3 Budget'!$D$7),'CALC-3 Budget'!$D$7,'CALC-3 Budget'!$C$7)+G369*IF(ISNUMBER('CALC-3 Budget'!$D$8),'CALC-3 Budget'!$D$8,'CALC-3 Budget'!$C$8))/1000000,"")</f>
        <v/>
      </c>
    </row>
    <row r="370">
      <c r="A370" s="30" t="n"/>
      <c r="B370" s="30" t="n"/>
      <c r="C370" s="30" t="n"/>
      <c r="D370" s="30" t="n"/>
      <c r="E370" s="30" t="n"/>
      <c r="F370" s="30" t="n"/>
      <c r="G370" s="30" t="n"/>
      <c r="H370" s="30" t="n"/>
      <c r="I370" s="30" t="n"/>
      <c r="J370" s="31">
        <f>IF(AND(ISNUMBER(F370),ISNUMBER(G370)),(F370*IF(ISNUMBER('CALC-3 Budget'!$D$7),'CALC-3 Budget'!$D$7,'CALC-3 Budget'!$C$7)+G370*IF(ISNUMBER('CALC-3 Budget'!$D$8),'CALC-3 Budget'!$D$8,'CALC-3 Budget'!$C$8))/1000000,"")</f>
        <v/>
      </c>
    </row>
    <row r="371">
      <c r="A371" s="30" t="n"/>
      <c r="B371" s="30" t="n"/>
      <c r="C371" s="30" t="n"/>
      <c r="D371" s="30" t="n"/>
      <c r="E371" s="30" t="n"/>
      <c r="F371" s="30" t="n"/>
      <c r="G371" s="30" t="n"/>
      <c r="H371" s="30" t="n"/>
      <c r="I371" s="30" t="n"/>
      <c r="J371" s="31">
        <f>IF(AND(ISNUMBER(F371),ISNUMBER(G371)),(F371*IF(ISNUMBER('CALC-3 Budget'!$D$7),'CALC-3 Budget'!$D$7,'CALC-3 Budget'!$C$7)+G371*IF(ISNUMBER('CALC-3 Budget'!$D$8),'CALC-3 Budget'!$D$8,'CALC-3 Budget'!$C$8))/1000000,"")</f>
        <v/>
      </c>
    </row>
    <row r="372">
      <c r="A372" s="30" t="n"/>
      <c r="B372" s="30" t="n"/>
      <c r="C372" s="30" t="n"/>
      <c r="D372" s="30" t="n"/>
      <c r="E372" s="30" t="n"/>
      <c r="F372" s="30" t="n"/>
      <c r="G372" s="30" t="n"/>
      <c r="H372" s="30" t="n"/>
      <c r="I372" s="30" t="n"/>
      <c r="J372" s="31">
        <f>IF(AND(ISNUMBER(F372),ISNUMBER(G372)),(F372*IF(ISNUMBER('CALC-3 Budget'!$D$7),'CALC-3 Budget'!$D$7,'CALC-3 Budget'!$C$7)+G372*IF(ISNUMBER('CALC-3 Budget'!$D$8),'CALC-3 Budget'!$D$8,'CALC-3 Budget'!$C$8))/1000000,"")</f>
        <v/>
      </c>
    </row>
    <row r="373">
      <c r="A373" s="30" t="n"/>
      <c r="B373" s="30" t="n"/>
      <c r="C373" s="30" t="n"/>
      <c r="D373" s="30" t="n"/>
      <c r="E373" s="30" t="n"/>
      <c r="F373" s="30" t="n"/>
      <c r="G373" s="30" t="n"/>
      <c r="H373" s="30" t="n"/>
      <c r="I373" s="30" t="n"/>
      <c r="J373" s="31">
        <f>IF(AND(ISNUMBER(F373),ISNUMBER(G373)),(F373*IF(ISNUMBER('CALC-3 Budget'!$D$7),'CALC-3 Budget'!$D$7,'CALC-3 Budget'!$C$7)+G373*IF(ISNUMBER('CALC-3 Budget'!$D$8),'CALC-3 Budget'!$D$8,'CALC-3 Budget'!$C$8))/1000000,"")</f>
        <v/>
      </c>
    </row>
    <row r="374">
      <c r="A374" s="30" t="n"/>
      <c r="B374" s="30" t="n"/>
      <c r="C374" s="30" t="n"/>
      <c r="D374" s="30" t="n"/>
      <c r="E374" s="30" t="n"/>
      <c r="F374" s="30" t="n"/>
      <c r="G374" s="30" t="n"/>
      <c r="H374" s="30" t="n"/>
      <c r="I374" s="30" t="n"/>
      <c r="J374" s="31">
        <f>IF(AND(ISNUMBER(F374),ISNUMBER(G374)),(F374*IF(ISNUMBER('CALC-3 Budget'!$D$7),'CALC-3 Budget'!$D$7,'CALC-3 Budget'!$C$7)+G374*IF(ISNUMBER('CALC-3 Budget'!$D$8),'CALC-3 Budget'!$D$8,'CALC-3 Budget'!$C$8))/1000000,"")</f>
        <v/>
      </c>
    </row>
    <row r="375">
      <c r="A375" s="30" t="n"/>
      <c r="B375" s="30" t="n"/>
      <c r="C375" s="30" t="n"/>
      <c r="D375" s="30" t="n"/>
      <c r="E375" s="30" t="n"/>
      <c r="F375" s="30" t="n"/>
      <c r="G375" s="30" t="n"/>
      <c r="H375" s="30" t="n"/>
      <c r="I375" s="30" t="n"/>
      <c r="J375" s="31">
        <f>IF(AND(ISNUMBER(F375),ISNUMBER(G375)),(F375*IF(ISNUMBER('CALC-3 Budget'!$D$7),'CALC-3 Budget'!$D$7,'CALC-3 Budget'!$C$7)+G375*IF(ISNUMBER('CALC-3 Budget'!$D$8),'CALC-3 Budget'!$D$8,'CALC-3 Budget'!$C$8))/1000000,"")</f>
        <v/>
      </c>
    </row>
    <row r="376">
      <c r="A376" s="30" t="n"/>
      <c r="B376" s="30" t="n"/>
      <c r="C376" s="30" t="n"/>
      <c r="D376" s="30" t="n"/>
      <c r="E376" s="30" t="n"/>
      <c r="F376" s="30" t="n"/>
      <c r="G376" s="30" t="n"/>
      <c r="H376" s="30" t="n"/>
      <c r="I376" s="30" t="n"/>
      <c r="J376" s="31">
        <f>IF(AND(ISNUMBER(F376),ISNUMBER(G376)),(F376*IF(ISNUMBER('CALC-3 Budget'!$D$7),'CALC-3 Budget'!$D$7,'CALC-3 Budget'!$C$7)+G376*IF(ISNUMBER('CALC-3 Budget'!$D$8),'CALC-3 Budget'!$D$8,'CALC-3 Budget'!$C$8))/1000000,"")</f>
        <v/>
      </c>
    </row>
    <row r="377">
      <c r="A377" s="30" t="n"/>
      <c r="B377" s="30" t="n"/>
      <c r="C377" s="30" t="n"/>
      <c r="D377" s="30" t="n"/>
      <c r="E377" s="30" t="n"/>
      <c r="F377" s="30" t="n"/>
      <c r="G377" s="30" t="n"/>
      <c r="H377" s="30" t="n"/>
      <c r="I377" s="30" t="n"/>
      <c r="J377" s="31">
        <f>IF(AND(ISNUMBER(F377),ISNUMBER(G377)),(F377*IF(ISNUMBER('CALC-3 Budget'!$D$7),'CALC-3 Budget'!$D$7,'CALC-3 Budget'!$C$7)+G377*IF(ISNUMBER('CALC-3 Budget'!$D$8),'CALC-3 Budget'!$D$8,'CALC-3 Budget'!$C$8))/1000000,"")</f>
        <v/>
      </c>
    </row>
    <row r="378">
      <c r="A378" s="30" t="n"/>
      <c r="B378" s="30" t="n"/>
      <c r="C378" s="30" t="n"/>
      <c r="D378" s="30" t="n"/>
      <c r="E378" s="30" t="n"/>
      <c r="F378" s="30" t="n"/>
      <c r="G378" s="30" t="n"/>
      <c r="H378" s="30" t="n"/>
      <c r="I378" s="30" t="n"/>
      <c r="J378" s="31">
        <f>IF(AND(ISNUMBER(F378),ISNUMBER(G378)),(F378*IF(ISNUMBER('CALC-3 Budget'!$D$7),'CALC-3 Budget'!$D$7,'CALC-3 Budget'!$C$7)+G378*IF(ISNUMBER('CALC-3 Budget'!$D$8),'CALC-3 Budget'!$D$8,'CALC-3 Budget'!$C$8))/1000000,"")</f>
        <v/>
      </c>
    </row>
    <row r="379">
      <c r="A379" s="30" t="n"/>
      <c r="B379" s="30" t="n"/>
      <c r="C379" s="30" t="n"/>
      <c r="D379" s="30" t="n"/>
      <c r="E379" s="30" t="n"/>
      <c r="F379" s="30" t="n"/>
      <c r="G379" s="30" t="n"/>
      <c r="H379" s="30" t="n"/>
      <c r="I379" s="30" t="n"/>
      <c r="J379" s="31">
        <f>IF(AND(ISNUMBER(F379),ISNUMBER(G379)),(F379*IF(ISNUMBER('CALC-3 Budget'!$D$7),'CALC-3 Budget'!$D$7,'CALC-3 Budget'!$C$7)+G379*IF(ISNUMBER('CALC-3 Budget'!$D$8),'CALC-3 Budget'!$D$8,'CALC-3 Budget'!$C$8))/1000000,"")</f>
        <v/>
      </c>
    </row>
    <row r="380">
      <c r="A380" s="30" t="n"/>
      <c r="B380" s="30" t="n"/>
      <c r="C380" s="30" t="n"/>
      <c r="D380" s="30" t="n"/>
      <c r="E380" s="30" t="n"/>
      <c r="F380" s="30" t="n"/>
      <c r="G380" s="30" t="n"/>
      <c r="H380" s="30" t="n"/>
      <c r="I380" s="30" t="n"/>
      <c r="J380" s="31">
        <f>IF(AND(ISNUMBER(F380),ISNUMBER(G380)),(F380*IF(ISNUMBER('CALC-3 Budget'!$D$7),'CALC-3 Budget'!$D$7,'CALC-3 Budget'!$C$7)+G380*IF(ISNUMBER('CALC-3 Budget'!$D$8),'CALC-3 Budget'!$D$8,'CALC-3 Budget'!$C$8))/1000000,"")</f>
        <v/>
      </c>
    </row>
    <row r="381">
      <c r="A381" s="30" t="n"/>
      <c r="B381" s="30" t="n"/>
      <c r="C381" s="30" t="n"/>
      <c r="D381" s="30" t="n"/>
      <c r="E381" s="30" t="n"/>
      <c r="F381" s="30" t="n"/>
      <c r="G381" s="30" t="n"/>
      <c r="H381" s="30" t="n"/>
      <c r="I381" s="30" t="n"/>
      <c r="J381" s="31">
        <f>IF(AND(ISNUMBER(F381),ISNUMBER(G381)),(F381*IF(ISNUMBER('CALC-3 Budget'!$D$7),'CALC-3 Budget'!$D$7,'CALC-3 Budget'!$C$7)+G381*IF(ISNUMBER('CALC-3 Budget'!$D$8),'CALC-3 Budget'!$D$8,'CALC-3 Budget'!$C$8))/1000000,"")</f>
        <v/>
      </c>
    </row>
    <row r="382">
      <c r="A382" s="30" t="n"/>
      <c r="B382" s="30" t="n"/>
      <c r="C382" s="30" t="n"/>
      <c r="D382" s="30" t="n"/>
      <c r="E382" s="30" t="n"/>
      <c r="F382" s="30" t="n"/>
      <c r="G382" s="30" t="n"/>
      <c r="H382" s="30" t="n"/>
      <c r="I382" s="30" t="n"/>
      <c r="J382" s="31">
        <f>IF(AND(ISNUMBER(F382),ISNUMBER(G382)),(F382*IF(ISNUMBER('CALC-3 Budget'!$D$7),'CALC-3 Budget'!$D$7,'CALC-3 Budget'!$C$7)+G382*IF(ISNUMBER('CALC-3 Budget'!$D$8),'CALC-3 Budget'!$D$8,'CALC-3 Budget'!$C$8))/1000000,"")</f>
        <v/>
      </c>
    </row>
    <row r="383">
      <c r="A383" s="30" t="n"/>
      <c r="B383" s="30" t="n"/>
      <c r="C383" s="30" t="n"/>
      <c r="D383" s="30" t="n"/>
      <c r="E383" s="30" t="n"/>
      <c r="F383" s="30" t="n"/>
      <c r="G383" s="30" t="n"/>
      <c r="H383" s="30" t="n"/>
      <c r="I383" s="30" t="n"/>
      <c r="J383" s="31">
        <f>IF(AND(ISNUMBER(F383),ISNUMBER(G383)),(F383*IF(ISNUMBER('CALC-3 Budget'!$D$7),'CALC-3 Budget'!$D$7,'CALC-3 Budget'!$C$7)+G383*IF(ISNUMBER('CALC-3 Budget'!$D$8),'CALC-3 Budget'!$D$8,'CALC-3 Budget'!$C$8))/1000000,"")</f>
        <v/>
      </c>
    </row>
    <row r="384">
      <c r="A384" s="30" t="n"/>
      <c r="B384" s="30" t="n"/>
      <c r="C384" s="30" t="n"/>
      <c r="D384" s="30" t="n"/>
      <c r="E384" s="30" t="n"/>
      <c r="F384" s="30" t="n"/>
      <c r="G384" s="30" t="n"/>
      <c r="H384" s="30" t="n"/>
      <c r="I384" s="30" t="n"/>
      <c r="J384" s="31">
        <f>IF(AND(ISNUMBER(F384),ISNUMBER(G384)),(F384*IF(ISNUMBER('CALC-3 Budget'!$D$7),'CALC-3 Budget'!$D$7,'CALC-3 Budget'!$C$7)+G384*IF(ISNUMBER('CALC-3 Budget'!$D$8),'CALC-3 Budget'!$D$8,'CALC-3 Budget'!$C$8))/1000000,"")</f>
        <v/>
      </c>
    </row>
    <row r="385">
      <c r="A385" s="30" t="n"/>
      <c r="B385" s="30" t="n"/>
      <c r="C385" s="30" t="n"/>
      <c r="D385" s="30" t="n"/>
      <c r="E385" s="30" t="n"/>
      <c r="F385" s="30" t="n"/>
      <c r="G385" s="30" t="n"/>
      <c r="H385" s="30" t="n"/>
      <c r="I385" s="30" t="n"/>
      <c r="J385" s="31">
        <f>IF(AND(ISNUMBER(F385),ISNUMBER(G385)),(F385*IF(ISNUMBER('CALC-3 Budget'!$D$7),'CALC-3 Budget'!$D$7,'CALC-3 Budget'!$C$7)+G385*IF(ISNUMBER('CALC-3 Budget'!$D$8),'CALC-3 Budget'!$D$8,'CALC-3 Budget'!$C$8))/1000000,"")</f>
        <v/>
      </c>
    </row>
    <row r="386">
      <c r="A386" s="30" t="n"/>
      <c r="B386" s="30" t="n"/>
      <c r="C386" s="30" t="n"/>
      <c r="D386" s="30" t="n"/>
      <c r="E386" s="30" t="n"/>
      <c r="F386" s="30" t="n"/>
      <c r="G386" s="30" t="n"/>
      <c r="H386" s="30" t="n"/>
      <c r="I386" s="30" t="n"/>
      <c r="J386" s="31">
        <f>IF(AND(ISNUMBER(F386),ISNUMBER(G386)),(F386*IF(ISNUMBER('CALC-3 Budget'!$D$7),'CALC-3 Budget'!$D$7,'CALC-3 Budget'!$C$7)+G386*IF(ISNUMBER('CALC-3 Budget'!$D$8),'CALC-3 Budget'!$D$8,'CALC-3 Budget'!$C$8))/1000000,"")</f>
        <v/>
      </c>
    </row>
    <row r="387">
      <c r="A387" s="30" t="n"/>
      <c r="B387" s="30" t="n"/>
      <c r="C387" s="30" t="n"/>
      <c r="D387" s="30" t="n"/>
      <c r="E387" s="30" t="n"/>
      <c r="F387" s="30" t="n"/>
      <c r="G387" s="30" t="n"/>
      <c r="H387" s="30" t="n"/>
      <c r="I387" s="30" t="n"/>
      <c r="J387" s="31">
        <f>IF(AND(ISNUMBER(F387),ISNUMBER(G387)),(F387*IF(ISNUMBER('CALC-3 Budget'!$D$7),'CALC-3 Budget'!$D$7,'CALC-3 Budget'!$C$7)+G387*IF(ISNUMBER('CALC-3 Budget'!$D$8),'CALC-3 Budget'!$D$8,'CALC-3 Budget'!$C$8))/1000000,"")</f>
        <v/>
      </c>
    </row>
    <row r="388">
      <c r="A388" s="30" t="n"/>
      <c r="B388" s="30" t="n"/>
      <c r="C388" s="30" t="n"/>
      <c r="D388" s="30" t="n"/>
      <c r="E388" s="30" t="n"/>
      <c r="F388" s="30" t="n"/>
      <c r="G388" s="30" t="n"/>
      <c r="H388" s="30" t="n"/>
      <c r="I388" s="30" t="n"/>
      <c r="J388" s="31">
        <f>IF(AND(ISNUMBER(F388),ISNUMBER(G388)),(F388*IF(ISNUMBER('CALC-3 Budget'!$D$7),'CALC-3 Budget'!$D$7,'CALC-3 Budget'!$C$7)+G388*IF(ISNUMBER('CALC-3 Budget'!$D$8),'CALC-3 Budget'!$D$8,'CALC-3 Budget'!$C$8))/1000000,"")</f>
        <v/>
      </c>
    </row>
    <row r="389">
      <c r="A389" s="30" t="n"/>
      <c r="B389" s="30" t="n"/>
      <c r="C389" s="30" t="n"/>
      <c r="D389" s="30" t="n"/>
      <c r="E389" s="30" t="n"/>
      <c r="F389" s="30" t="n"/>
      <c r="G389" s="30" t="n"/>
      <c r="H389" s="30" t="n"/>
      <c r="I389" s="30" t="n"/>
      <c r="J389" s="31">
        <f>IF(AND(ISNUMBER(F389),ISNUMBER(G389)),(F389*IF(ISNUMBER('CALC-3 Budget'!$D$7),'CALC-3 Budget'!$D$7,'CALC-3 Budget'!$C$7)+G389*IF(ISNUMBER('CALC-3 Budget'!$D$8),'CALC-3 Budget'!$D$8,'CALC-3 Budget'!$C$8))/1000000,"")</f>
        <v/>
      </c>
    </row>
    <row r="390">
      <c r="A390" s="30" t="n"/>
      <c r="B390" s="30" t="n"/>
      <c r="C390" s="30" t="n"/>
      <c r="D390" s="30" t="n"/>
      <c r="E390" s="30" t="n"/>
      <c r="F390" s="30" t="n"/>
      <c r="G390" s="30" t="n"/>
      <c r="H390" s="30" t="n"/>
      <c r="I390" s="30" t="n"/>
      <c r="J390" s="31">
        <f>IF(AND(ISNUMBER(F390),ISNUMBER(G390)),(F390*IF(ISNUMBER('CALC-3 Budget'!$D$7),'CALC-3 Budget'!$D$7,'CALC-3 Budget'!$C$7)+G390*IF(ISNUMBER('CALC-3 Budget'!$D$8),'CALC-3 Budget'!$D$8,'CALC-3 Budget'!$C$8))/1000000,"")</f>
        <v/>
      </c>
    </row>
    <row r="391">
      <c r="A391" s="30" t="n"/>
      <c r="B391" s="30" t="n"/>
      <c r="C391" s="30" t="n"/>
      <c r="D391" s="30" t="n"/>
      <c r="E391" s="30" t="n"/>
      <c r="F391" s="30" t="n"/>
      <c r="G391" s="30" t="n"/>
      <c r="H391" s="30" t="n"/>
      <c r="I391" s="30" t="n"/>
      <c r="J391" s="31">
        <f>IF(AND(ISNUMBER(F391),ISNUMBER(G391)),(F391*IF(ISNUMBER('CALC-3 Budget'!$D$7),'CALC-3 Budget'!$D$7,'CALC-3 Budget'!$C$7)+G391*IF(ISNUMBER('CALC-3 Budget'!$D$8),'CALC-3 Budget'!$D$8,'CALC-3 Budget'!$C$8))/1000000,"")</f>
        <v/>
      </c>
    </row>
    <row r="392">
      <c r="A392" s="30" t="n"/>
      <c r="B392" s="30" t="n"/>
      <c r="C392" s="30" t="n"/>
      <c r="D392" s="30" t="n"/>
      <c r="E392" s="30" t="n"/>
      <c r="F392" s="30" t="n"/>
      <c r="G392" s="30" t="n"/>
      <c r="H392" s="30" t="n"/>
      <c r="I392" s="30" t="n"/>
      <c r="J392" s="31">
        <f>IF(AND(ISNUMBER(F392),ISNUMBER(G392)),(F392*IF(ISNUMBER('CALC-3 Budget'!$D$7),'CALC-3 Budget'!$D$7,'CALC-3 Budget'!$C$7)+G392*IF(ISNUMBER('CALC-3 Budget'!$D$8),'CALC-3 Budget'!$D$8,'CALC-3 Budget'!$C$8))/1000000,"")</f>
        <v/>
      </c>
    </row>
    <row r="393">
      <c r="A393" s="30" t="n"/>
      <c r="B393" s="30" t="n"/>
      <c r="C393" s="30" t="n"/>
      <c r="D393" s="30" t="n"/>
      <c r="E393" s="30" t="n"/>
      <c r="F393" s="30" t="n"/>
      <c r="G393" s="30" t="n"/>
      <c r="H393" s="30" t="n"/>
      <c r="I393" s="30" t="n"/>
      <c r="J393" s="31">
        <f>IF(AND(ISNUMBER(F393),ISNUMBER(G393)),(F393*IF(ISNUMBER('CALC-3 Budget'!$D$7),'CALC-3 Budget'!$D$7,'CALC-3 Budget'!$C$7)+G393*IF(ISNUMBER('CALC-3 Budget'!$D$8),'CALC-3 Budget'!$D$8,'CALC-3 Budget'!$C$8))/1000000,"")</f>
        <v/>
      </c>
    </row>
    <row r="394">
      <c r="A394" s="30" t="n"/>
      <c r="B394" s="30" t="n"/>
      <c r="C394" s="30" t="n"/>
      <c r="D394" s="30" t="n"/>
      <c r="E394" s="30" t="n"/>
      <c r="F394" s="30" t="n"/>
      <c r="G394" s="30" t="n"/>
      <c r="H394" s="30" t="n"/>
      <c r="I394" s="30" t="n"/>
      <c r="J394" s="31">
        <f>IF(AND(ISNUMBER(F394),ISNUMBER(G394)),(F394*IF(ISNUMBER('CALC-3 Budget'!$D$7),'CALC-3 Budget'!$D$7,'CALC-3 Budget'!$C$7)+G394*IF(ISNUMBER('CALC-3 Budget'!$D$8),'CALC-3 Budget'!$D$8,'CALC-3 Budget'!$C$8))/1000000,"")</f>
        <v/>
      </c>
    </row>
    <row r="395">
      <c r="A395" s="30" t="n"/>
      <c r="B395" s="30" t="n"/>
      <c r="C395" s="30" t="n"/>
      <c r="D395" s="30" t="n"/>
      <c r="E395" s="30" t="n"/>
      <c r="F395" s="30" t="n"/>
      <c r="G395" s="30" t="n"/>
      <c r="H395" s="30" t="n"/>
      <c r="I395" s="30" t="n"/>
      <c r="J395" s="31">
        <f>IF(AND(ISNUMBER(F395),ISNUMBER(G395)),(F395*IF(ISNUMBER('CALC-3 Budget'!$D$7),'CALC-3 Budget'!$D$7,'CALC-3 Budget'!$C$7)+G395*IF(ISNUMBER('CALC-3 Budget'!$D$8),'CALC-3 Budget'!$D$8,'CALC-3 Budget'!$C$8))/1000000,"")</f>
        <v/>
      </c>
    </row>
    <row r="396">
      <c r="A396" s="30" t="n"/>
      <c r="B396" s="30" t="n"/>
      <c r="C396" s="30" t="n"/>
      <c r="D396" s="30" t="n"/>
      <c r="E396" s="30" t="n"/>
      <c r="F396" s="30" t="n"/>
      <c r="G396" s="30" t="n"/>
      <c r="H396" s="30" t="n"/>
      <c r="I396" s="30" t="n"/>
      <c r="J396" s="31">
        <f>IF(AND(ISNUMBER(F396),ISNUMBER(G396)),(F396*IF(ISNUMBER('CALC-3 Budget'!$D$7),'CALC-3 Budget'!$D$7,'CALC-3 Budget'!$C$7)+G396*IF(ISNUMBER('CALC-3 Budget'!$D$8),'CALC-3 Budget'!$D$8,'CALC-3 Budget'!$C$8))/1000000,"")</f>
        <v/>
      </c>
    </row>
    <row r="397">
      <c r="A397" s="30" t="n"/>
      <c r="B397" s="30" t="n"/>
      <c r="C397" s="30" t="n"/>
      <c r="D397" s="30" t="n"/>
      <c r="E397" s="30" t="n"/>
      <c r="F397" s="30" t="n"/>
      <c r="G397" s="30" t="n"/>
      <c r="H397" s="30" t="n"/>
      <c r="I397" s="30" t="n"/>
      <c r="J397" s="31">
        <f>IF(AND(ISNUMBER(F397),ISNUMBER(G397)),(F397*IF(ISNUMBER('CALC-3 Budget'!$D$7),'CALC-3 Budget'!$D$7,'CALC-3 Budget'!$C$7)+G397*IF(ISNUMBER('CALC-3 Budget'!$D$8),'CALC-3 Budget'!$D$8,'CALC-3 Budget'!$C$8))/1000000,"")</f>
        <v/>
      </c>
    </row>
    <row r="398">
      <c r="A398" s="30" t="n"/>
      <c r="B398" s="30" t="n"/>
      <c r="C398" s="30" t="n"/>
      <c r="D398" s="30" t="n"/>
      <c r="E398" s="30" t="n"/>
      <c r="F398" s="30" t="n"/>
      <c r="G398" s="30" t="n"/>
      <c r="H398" s="30" t="n"/>
      <c r="I398" s="30" t="n"/>
      <c r="J398" s="31">
        <f>IF(AND(ISNUMBER(F398),ISNUMBER(G398)),(F398*IF(ISNUMBER('CALC-3 Budget'!$D$7),'CALC-3 Budget'!$D$7,'CALC-3 Budget'!$C$7)+G398*IF(ISNUMBER('CALC-3 Budget'!$D$8),'CALC-3 Budget'!$D$8,'CALC-3 Budget'!$C$8))/1000000,"")</f>
        <v/>
      </c>
    </row>
    <row r="399">
      <c r="A399" s="30" t="n"/>
      <c r="B399" s="30" t="n"/>
      <c r="C399" s="30" t="n"/>
      <c r="D399" s="30" t="n"/>
      <c r="E399" s="30" t="n"/>
      <c r="F399" s="30" t="n"/>
      <c r="G399" s="30" t="n"/>
      <c r="H399" s="30" t="n"/>
      <c r="I399" s="30" t="n"/>
      <c r="J399" s="31">
        <f>IF(AND(ISNUMBER(F399),ISNUMBER(G399)),(F399*IF(ISNUMBER('CALC-3 Budget'!$D$7),'CALC-3 Budget'!$D$7,'CALC-3 Budget'!$C$7)+G399*IF(ISNUMBER('CALC-3 Budget'!$D$8),'CALC-3 Budget'!$D$8,'CALC-3 Budget'!$C$8))/1000000,"")</f>
        <v/>
      </c>
    </row>
    <row r="400">
      <c r="A400" s="30" t="n"/>
      <c r="B400" s="30" t="n"/>
      <c r="C400" s="30" t="n"/>
      <c r="D400" s="30" t="n"/>
      <c r="E400" s="30" t="n"/>
      <c r="F400" s="30" t="n"/>
      <c r="G400" s="30" t="n"/>
      <c r="H400" s="30" t="n"/>
      <c r="I400" s="30" t="n"/>
      <c r="J400" s="31">
        <f>IF(AND(ISNUMBER(F400),ISNUMBER(G400)),(F400*IF(ISNUMBER('CALC-3 Budget'!$D$7),'CALC-3 Budget'!$D$7,'CALC-3 Budget'!$C$7)+G400*IF(ISNUMBER('CALC-3 Budget'!$D$8),'CALC-3 Budget'!$D$8,'CALC-3 Budget'!$C$8))/1000000,"")</f>
        <v/>
      </c>
    </row>
    <row r="401">
      <c r="A401" s="30" t="n"/>
      <c r="B401" s="30" t="n"/>
      <c r="C401" s="30" t="n"/>
      <c r="D401" s="30" t="n"/>
      <c r="E401" s="30" t="n"/>
      <c r="F401" s="30" t="n"/>
      <c r="G401" s="30" t="n"/>
      <c r="H401" s="30" t="n"/>
      <c r="I401" s="30" t="n"/>
      <c r="J401" s="31">
        <f>IF(AND(ISNUMBER(F401),ISNUMBER(G401)),(F401*IF(ISNUMBER('CALC-3 Budget'!$D$7),'CALC-3 Budget'!$D$7,'CALC-3 Budget'!$C$7)+G401*IF(ISNUMBER('CALC-3 Budget'!$D$8),'CALC-3 Budget'!$D$8,'CALC-3 Budget'!$C$8))/1000000,"")</f>
        <v/>
      </c>
    </row>
    <row r="402">
      <c r="A402" s="30" t="n"/>
      <c r="B402" s="30" t="n"/>
      <c r="C402" s="30" t="n"/>
      <c r="D402" s="30" t="n"/>
      <c r="E402" s="30" t="n"/>
      <c r="F402" s="30" t="n"/>
      <c r="G402" s="30" t="n"/>
      <c r="H402" s="30" t="n"/>
      <c r="I402" s="30" t="n"/>
      <c r="J402" s="31">
        <f>IF(AND(ISNUMBER(F402),ISNUMBER(G402)),(F402*IF(ISNUMBER('CALC-3 Budget'!$D$7),'CALC-3 Budget'!$D$7,'CALC-3 Budget'!$C$7)+G402*IF(ISNUMBER('CALC-3 Budget'!$D$8),'CALC-3 Budget'!$D$8,'CALC-3 Budget'!$C$8))/1000000,"")</f>
        <v/>
      </c>
    </row>
    <row r="403">
      <c r="A403" s="30" t="n"/>
      <c r="B403" s="30" t="n"/>
      <c r="C403" s="30" t="n"/>
      <c r="D403" s="30" t="n"/>
      <c r="E403" s="30" t="n"/>
      <c r="F403" s="30" t="n"/>
      <c r="G403" s="30" t="n"/>
      <c r="H403" s="30" t="n"/>
      <c r="I403" s="30" t="n"/>
      <c r="J403" s="31">
        <f>IF(AND(ISNUMBER(F403),ISNUMBER(G403)),(F403*IF(ISNUMBER('CALC-3 Budget'!$D$7),'CALC-3 Budget'!$D$7,'CALC-3 Budget'!$C$7)+G403*IF(ISNUMBER('CALC-3 Budget'!$D$8),'CALC-3 Budget'!$D$8,'CALC-3 Budget'!$C$8))/1000000,"")</f>
        <v/>
      </c>
    </row>
    <row r="404">
      <c r="A404" s="30" t="n"/>
      <c r="B404" s="30" t="n"/>
      <c r="C404" s="30" t="n"/>
      <c r="D404" s="30" t="n"/>
      <c r="E404" s="30" t="n"/>
      <c r="F404" s="30" t="n"/>
      <c r="G404" s="30" t="n"/>
      <c r="H404" s="30" t="n"/>
      <c r="I404" s="30" t="n"/>
      <c r="J404" s="31">
        <f>IF(AND(ISNUMBER(F404),ISNUMBER(G404)),(F404*IF(ISNUMBER('CALC-3 Budget'!$D$7),'CALC-3 Budget'!$D$7,'CALC-3 Budget'!$C$7)+G404*IF(ISNUMBER('CALC-3 Budget'!$D$8),'CALC-3 Budget'!$D$8,'CALC-3 Budget'!$C$8))/1000000,"")</f>
        <v/>
      </c>
    </row>
    <row r="405">
      <c r="A405" s="30" t="n"/>
      <c r="B405" s="30" t="n"/>
      <c r="C405" s="30" t="n"/>
      <c r="D405" s="30" t="n"/>
      <c r="E405" s="30" t="n"/>
      <c r="F405" s="30" t="n"/>
      <c r="G405" s="30" t="n"/>
      <c r="H405" s="30" t="n"/>
      <c r="I405" s="30" t="n"/>
      <c r="J405" s="31">
        <f>IF(AND(ISNUMBER(F405),ISNUMBER(G405)),(F405*IF(ISNUMBER('CALC-3 Budget'!$D$7),'CALC-3 Budget'!$D$7,'CALC-3 Budget'!$C$7)+G405*IF(ISNUMBER('CALC-3 Budget'!$D$8),'CALC-3 Budget'!$D$8,'CALC-3 Budget'!$C$8))/1000000,"")</f>
        <v/>
      </c>
    </row>
    <row r="406">
      <c r="A406" s="30" t="n"/>
      <c r="B406" s="30" t="n"/>
      <c r="C406" s="30" t="n"/>
      <c r="D406" s="30" t="n"/>
      <c r="E406" s="30" t="n"/>
      <c r="F406" s="30" t="n"/>
      <c r="G406" s="30" t="n"/>
      <c r="H406" s="30" t="n"/>
      <c r="I406" s="30" t="n"/>
      <c r="J406" s="31">
        <f>IF(AND(ISNUMBER(F406),ISNUMBER(G406)),(F406*IF(ISNUMBER('CALC-3 Budget'!$D$7),'CALC-3 Budget'!$D$7,'CALC-3 Budget'!$C$7)+G406*IF(ISNUMBER('CALC-3 Budget'!$D$8),'CALC-3 Budget'!$D$8,'CALC-3 Budget'!$C$8))/1000000,"")</f>
        <v/>
      </c>
    </row>
    <row r="407">
      <c r="A407" s="30" t="n"/>
      <c r="B407" s="30" t="n"/>
      <c r="C407" s="30" t="n"/>
      <c r="D407" s="30" t="n"/>
      <c r="E407" s="30" t="n"/>
      <c r="F407" s="30" t="n"/>
      <c r="G407" s="30" t="n"/>
      <c r="H407" s="30" t="n"/>
      <c r="I407" s="30" t="n"/>
      <c r="J407" s="31">
        <f>IF(AND(ISNUMBER(F407),ISNUMBER(G407)),(F407*IF(ISNUMBER('CALC-3 Budget'!$D$7),'CALC-3 Budget'!$D$7,'CALC-3 Budget'!$C$7)+G407*IF(ISNUMBER('CALC-3 Budget'!$D$8),'CALC-3 Budget'!$D$8,'CALC-3 Budget'!$C$8))/1000000,"")</f>
        <v/>
      </c>
    </row>
    <row r="408">
      <c r="A408" s="30" t="n"/>
      <c r="B408" s="30" t="n"/>
      <c r="C408" s="30" t="n"/>
      <c r="D408" s="30" t="n"/>
      <c r="E408" s="30" t="n"/>
      <c r="F408" s="30" t="n"/>
      <c r="G408" s="30" t="n"/>
      <c r="H408" s="30" t="n"/>
      <c r="I408" s="30" t="n"/>
      <c r="J408" s="31">
        <f>IF(AND(ISNUMBER(F408),ISNUMBER(G408)),(F408*IF(ISNUMBER('CALC-3 Budget'!$D$7),'CALC-3 Budget'!$D$7,'CALC-3 Budget'!$C$7)+G408*IF(ISNUMBER('CALC-3 Budget'!$D$8),'CALC-3 Budget'!$D$8,'CALC-3 Budget'!$C$8))/1000000,"")</f>
        <v/>
      </c>
    </row>
    <row r="409">
      <c r="A409" s="30" t="n"/>
      <c r="B409" s="30" t="n"/>
      <c r="C409" s="30" t="n"/>
      <c r="D409" s="30" t="n"/>
      <c r="E409" s="30" t="n"/>
      <c r="F409" s="30" t="n"/>
      <c r="G409" s="30" t="n"/>
      <c r="H409" s="30" t="n"/>
      <c r="I409" s="30" t="n"/>
      <c r="J409" s="31">
        <f>IF(AND(ISNUMBER(F409),ISNUMBER(G409)),(F409*IF(ISNUMBER('CALC-3 Budget'!$D$7),'CALC-3 Budget'!$D$7,'CALC-3 Budget'!$C$7)+G409*IF(ISNUMBER('CALC-3 Budget'!$D$8),'CALC-3 Budget'!$D$8,'CALC-3 Budget'!$C$8))/1000000,"")</f>
        <v/>
      </c>
    </row>
    <row r="410">
      <c r="A410" s="30" t="n"/>
      <c r="B410" s="30" t="n"/>
      <c r="C410" s="30" t="n"/>
      <c r="D410" s="30" t="n"/>
      <c r="E410" s="30" t="n"/>
      <c r="F410" s="30" t="n"/>
      <c r="G410" s="30" t="n"/>
      <c r="H410" s="30" t="n"/>
      <c r="I410" s="30" t="n"/>
      <c r="J410" s="31">
        <f>IF(AND(ISNUMBER(F410),ISNUMBER(G410)),(F410*IF(ISNUMBER('CALC-3 Budget'!$D$7),'CALC-3 Budget'!$D$7,'CALC-3 Budget'!$C$7)+G410*IF(ISNUMBER('CALC-3 Budget'!$D$8),'CALC-3 Budget'!$D$8,'CALC-3 Budget'!$C$8))/1000000,"")</f>
        <v/>
      </c>
    </row>
    <row r="411">
      <c r="A411" s="30" t="n"/>
      <c r="B411" s="30" t="n"/>
      <c r="C411" s="30" t="n"/>
      <c r="D411" s="30" t="n"/>
      <c r="E411" s="30" t="n"/>
      <c r="F411" s="30" t="n"/>
      <c r="G411" s="30" t="n"/>
      <c r="H411" s="30" t="n"/>
      <c r="I411" s="30" t="n"/>
      <c r="J411" s="31">
        <f>IF(AND(ISNUMBER(F411),ISNUMBER(G411)),(F411*IF(ISNUMBER('CALC-3 Budget'!$D$7),'CALC-3 Budget'!$D$7,'CALC-3 Budget'!$C$7)+G411*IF(ISNUMBER('CALC-3 Budget'!$D$8),'CALC-3 Budget'!$D$8,'CALC-3 Budget'!$C$8))/1000000,"")</f>
        <v/>
      </c>
    </row>
    <row r="412">
      <c r="A412" s="30" t="n"/>
      <c r="B412" s="30" t="n"/>
      <c r="C412" s="30" t="n"/>
      <c r="D412" s="30" t="n"/>
      <c r="E412" s="30" t="n"/>
      <c r="F412" s="30" t="n"/>
      <c r="G412" s="30" t="n"/>
      <c r="H412" s="30" t="n"/>
      <c r="I412" s="30" t="n"/>
      <c r="J412" s="31">
        <f>IF(AND(ISNUMBER(F412),ISNUMBER(G412)),(F412*IF(ISNUMBER('CALC-3 Budget'!$D$7),'CALC-3 Budget'!$D$7,'CALC-3 Budget'!$C$7)+G412*IF(ISNUMBER('CALC-3 Budget'!$D$8),'CALC-3 Budget'!$D$8,'CALC-3 Budget'!$C$8))/1000000,"")</f>
        <v/>
      </c>
    </row>
    <row r="413">
      <c r="A413" s="30" t="n"/>
      <c r="B413" s="30" t="n"/>
      <c r="C413" s="30" t="n"/>
      <c r="D413" s="30" t="n"/>
      <c r="E413" s="30" t="n"/>
      <c r="F413" s="30" t="n"/>
      <c r="G413" s="30" t="n"/>
      <c r="H413" s="30" t="n"/>
      <c r="I413" s="30" t="n"/>
      <c r="J413" s="31">
        <f>IF(AND(ISNUMBER(F413),ISNUMBER(G413)),(F413*IF(ISNUMBER('CALC-3 Budget'!$D$7),'CALC-3 Budget'!$D$7,'CALC-3 Budget'!$C$7)+G413*IF(ISNUMBER('CALC-3 Budget'!$D$8),'CALC-3 Budget'!$D$8,'CALC-3 Budget'!$C$8))/1000000,"")</f>
        <v/>
      </c>
    </row>
    <row r="414">
      <c r="A414" s="30" t="n"/>
      <c r="B414" s="30" t="n"/>
      <c r="C414" s="30" t="n"/>
      <c r="D414" s="30" t="n"/>
      <c r="E414" s="30" t="n"/>
      <c r="F414" s="30" t="n"/>
      <c r="G414" s="30" t="n"/>
      <c r="H414" s="30" t="n"/>
      <c r="I414" s="30" t="n"/>
      <c r="J414" s="31">
        <f>IF(AND(ISNUMBER(F414),ISNUMBER(G414)),(F414*IF(ISNUMBER('CALC-3 Budget'!$D$7),'CALC-3 Budget'!$D$7,'CALC-3 Budget'!$C$7)+G414*IF(ISNUMBER('CALC-3 Budget'!$D$8),'CALC-3 Budget'!$D$8,'CALC-3 Budget'!$C$8))/1000000,"")</f>
        <v/>
      </c>
    </row>
    <row r="415">
      <c r="A415" s="30" t="n"/>
      <c r="B415" s="30" t="n"/>
      <c r="C415" s="30" t="n"/>
      <c r="D415" s="30" t="n"/>
      <c r="E415" s="30" t="n"/>
      <c r="F415" s="30" t="n"/>
      <c r="G415" s="30" t="n"/>
      <c r="H415" s="30" t="n"/>
      <c r="I415" s="30" t="n"/>
      <c r="J415" s="31">
        <f>IF(AND(ISNUMBER(F415),ISNUMBER(G415)),(F415*IF(ISNUMBER('CALC-3 Budget'!$D$7),'CALC-3 Budget'!$D$7,'CALC-3 Budget'!$C$7)+G415*IF(ISNUMBER('CALC-3 Budget'!$D$8),'CALC-3 Budget'!$D$8,'CALC-3 Budget'!$C$8))/1000000,"")</f>
        <v/>
      </c>
    </row>
    <row r="416">
      <c r="A416" s="30" t="n"/>
      <c r="B416" s="30" t="n"/>
      <c r="C416" s="30" t="n"/>
      <c r="D416" s="30" t="n"/>
      <c r="E416" s="30" t="n"/>
      <c r="F416" s="30" t="n"/>
      <c r="G416" s="30" t="n"/>
      <c r="H416" s="30" t="n"/>
      <c r="I416" s="30" t="n"/>
      <c r="J416" s="31">
        <f>IF(AND(ISNUMBER(F416),ISNUMBER(G416)),(F416*IF(ISNUMBER('CALC-3 Budget'!$D$7),'CALC-3 Budget'!$D$7,'CALC-3 Budget'!$C$7)+G416*IF(ISNUMBER('CALC-3 Budget'!$D$8),'CALC-3 Budget'!$D$8,'CALC-3 Budget'!$C$8))/1000000,"")</f>
        <v/>
      </c>
    </row>
    <row r="417">
      <c r="A417" s="30" t="n"/>
      <c r="B417" s="30" t="n"/>
      <c r="C417" s="30" t="n"/>
      <c r="D417" s="30" t="n"/>
      <c r="E417" s="30" t="n"/>
      <c r="F417" s="30" t="n"/>
      <c r="G417" s="30" t="n"/>
      <c r="H417" s="30" t="n"/>
      <c r="I417" s="30" t="n"/>
      <c r="J417" s="31">
        <f>IF(AND(ISNUMBER(F417),ISNUMBER(G417)),(F417*IF(ISNUMBER('CALC-3 Budget'!$D$7),'CALC-3 Budget'!$D$7,'CALC-3 Budget'!$C$7)+G417*IF(ISNUMBER('CALC-3 Budget'!$D$8),'CALC-3 Budget'!$D$8,'CALC-3 Budget'!$C$8))/1000000,"")</f>
        <v/>
      </c>
    </row>
    <row r="418">
      <c r="A418" s="30" t="n"/>
      <c r="B418" s="30" t="n"/>
      <c r="C418" s="30" t="n"/>
      <c r="D418" s="30" t="n"/>
      <c r="E418" s="30" t="n"/>
      <c r="F418" s="30" t="n"/>
      <c r="G418" s="30" t="n"/>
      <c r="H418" s="30" t="n"/>
      <c r="I418" s="30" t="n"/>
      <c r="J418" s="31">
        <f>IF(AND(ISNUMBER(F418),ISNUMBER(G418)),(F418*IF(ISNUMBER('CALC-3 Budget'!$D$7),'CALC-3 Budget'!$D$7,'CALC-3 Budget'!$C$7)+G418*IF(ISNUMBER('CALC-3 Budget'!$D$8),'CALC-3 Budget'!$D$8,'CALC-3 Budget'!$C$8))/1000000,"")</f>
        <v/>
      </c>
    </row>
    <row r="419">
      <c r="A419" s="30" t="n"/>
      <c r="B419" s="30" t="n"/>
      <c r="C419" s="30" t="n"/>
      <c r="D419" s="30" t="n"/>
      <c r="E419" s="30" t="n"/>
      <c r="F419" s="30" t="n"/>
      <c r="G419" s="30" t="n"/>
      <c r="H419" s="30" t="n"/>
      <c r="I419" s="30" t="n"/>
      <c r="J419" s="31">
        <f>IF(AND(ISNUMBER(F419),ISNUMBER(G419)),(F419*IF(ISNUMBER('CALC-3 Budget'!$D$7),'CALC-3 Budget'!$D$7,'CALC-3 Budget'!$C$7)+G419*IF(ISNUMBER('CALC-3 Budget'!$D$8),'CALC-3 Budget'!$D$8,'CALC-3 Budget'!$C$8))/1000000,"")</f>
        <v/>
      </c>
    </row>
    <row r="420">
      <c r="A420" s="30" t="n"/>
      <c r="B420" s="30" t="n"/>
      <c r="C420" s="30" t="n"/>
      <c r="D420" s="30" t="n"/>
      <c r="E420" s="30" t="n"/>
      <c r="F420" s="30" t="n"/>
      <c r="G420" s="30" t="n"/>
      <c r="H420" s="30" t="n"/>
      <c r="I420" s="30" t="n"/>
      <c r="J420" s="31">
        <f>IF(AND(ISNUMBER(F420),ISNUMBER(G420)),(F420*IF(ISNUMBER('CALC-3 Budget'!$D$7),'CALC-3 Budget'!$D$7,'CALC-3 Budget'!$C$7)+G420*IF(ISNUMBER('CALC-3 Budget'!$D$8),'CALC-3 Budget'!$D$8,'CALC-3 Budget'!$C$8))/1000000,"")</f>
        <v/>
      </c>
    </row>
    <row r="421">
      <c r="A421" s="30" t="n"/>
      <c r="B421" s="30" t="n"/>
      <c r="C421" s="30" t="n"/>
      <c r="D421" s="30" t="n"/>
      <c r="E421" s="30" t="n"/>
      <c r="F421" s="30" t="n"/>
      <c r="G421" s="30" t="n"/>
      <c r="H421" s="30" t="n"/>
      <c r="I421" s="30" t="n"/>
      <c r="J421" s="31">
        <f>IF(AND(ISNUMBER(F421),ISNUMBER(G421)),(F421*IF(ISNUMBER('CALC-3 Budget'!$D$7),'CALC-3 Budget'!$D$7,'CALC-3 Budget'!$C$7)+G421*IF(ISNUMBER('CALC-3 Budget'!$D$8),'CALC-3 Budget'!$D$8,'CALC-3 Budget'!$C$8))/1000000,"")</f>
        <v/>
      </c>
    </row>
    <row r="422">
      <c r="A422" s="30" t="n"/>
      <c r="B422" s="30" t="n"/>
      <c r="C422" s="30" t="n"/>
      <c r="D422" s="30" t="n"/>
      <c r="E422" s="30" t="n"/>
      <c r="F422" s="30" t="n"/>
      <c r="G422" s="30" t="n"/>
      <c r="H422" s="30" t="n"/>
      <c r="I422" s="30" t="n"/>
      <c r="J422" s="31">
        <f>IF(AND(ISNUMBER(F422),ISNUMBER(G422)),(F422*IF(ISNUMBER('CALC-3 Budget'!$D$7),'CALC-3 Budget'!$D$7,'CALC-3 Budget'!$C$7)+G422*IF(ISNUMBER('CALC-3 Budget'!$D$8),'CALC-3 Budget'!$D$8,'CALC-3 Budget'!$C$8))/1000000,"")</f>
        <v/>
      </c>
    </row>
    <row r="423">
      <c r="A423" s="30" t="n"/>
      <c r="B423" s="30" t="n"/>
      <c r="C423" s="30" t="n"/>
      <c r="D423" s="30" t="n"/>
      <c r="E423" s="30" t="n"/>
      <c r="F423" s="30" t="n"/>
      <c r="G423" s="30" t="n"/>
      <c r="H423" s="30" t="n"/>
      <c r="I423" s="30" t="n"/>
      <c r="J423" s="31">
        <f>IF(AND(ISNUMBER(F423),ISNUMBER(G423)),(F423*IF(ISNUMBER('CALC-3 Budget'!$D$7),'CALC-3 Budget'!$D$7,'CALC-3 Budget'!$C$7)+G423*IF(ISNUMBER('CALC-3 Budget'!$D$8),'CALC-3 Budget'!$D$8,'CALC-3 Budget'!$C$8))/1000000,"")</f>
        <v/>
      </c>
    </row>
    <row r="424">
      <c r="A424" s="30" t="n"/>
      <c r="B424" s="30" t="n"/>
      <c r="C424" s="30" t="n"/>
      <c r="D424" s="30" t="n"/>
      <c r="E424" s="30" t="n"/>
      <c r="F424" s="30" t="n"/>
      <c r="G424" s="30" t="n"/>
      <c r="H424" s="30" t="n"/>
      <c r="I424" s="30" t="n"/>
      <c r="J424" s="31">
        <f>IF(AND(ISNUMBER(F424),ISNUMBER(G424)),(F424*IF(ISNUMBER('CALC-3 Budget'!$D$7),'CALC-3 Budget'!$D$7,'CALC-3 Budget'!$C$7)+G424*IF(ISNUMBER('CALC-3 Budget'!$D$8),'CALC-3 Budget'!$D$8,'CALC-3 Budget'!$C$8))/1000000,"")</f>
        <v/>
      </c>
    </row>
    <row r="425">
      <c r="A425" s="30" t="n"/>
      <c r="B425" s="30" t="n"/>
      <c r="C425" s="30" t="n"/>
      <c r="D425" s="30" t="n"/>
      <c r="E425" s="30" t="n"/>
      <c r="F425" s="30" t="n"/>
      <c r="G425" s="30" t="n"/>
      <c r="H425" s="30" t="n"/>
      <c r="I425" s="30" t="n"/>
      <c r="J425" s="31">
        <f>IF(AND(ISNUMBER(F425),ISNUMBER(G425)),(F425*IF(ISNUMBER('CALC-3 Budget'!$D$7),'CALC-3 Budget'!$D$7,'CALC-3 Budget'!$C$7)+G425*IF(ISNUMBER('CALC-3 Budget'!$D$8),'CALC-3 Budget'!$D$8,'CALC-3 Budget'!$C$8))/1000000,"")</f>
        <v/>
      </c>
    </row>
    <row r="426">
      <c r="A426" s="30" t="n"/>
      <c r="B426" s="30" t="n"/>
      <c r="C426" s="30" t="n"/>
      <c r="D426" s="30" t="n"/>
      <c r="E426" s="30" t="n"/>
      <c r="F426" s="30" t="n"/>
      <c r="G426" s="30" t="n"/>
      <c r="H426" s="30" t="n"/>
      <c r="I426" s="30" t="n"/>
      <c r="J426" s="31">
        <f>IF(AND(ISNUMBER(F426),ISNUMBER(G426)),(F426*IF(ISNUMBER('CALC-3 Budget'!$D$7),'CALC-3 Budget'!$D$7,'CALC-3 Budget'!$C$7)+G426*IF(ISNUMBER('CALC-3 Budget'!$D$8),'CALC-3 Budget'!$D$8,'CALC-3 Budget'!$C$8))/1000000,"")</f>
        <v/>
      </c>
    </row>
    <row r="427">
      <c r="A427" s="30" t="n"/>
      <c r="B427" s="30" t="n"/>
      <c r="C427" s="30" t="n"/>
      <c r="D427" s="30" t="n"/>
      <c r="E427" s="30" t="n"/>
      <c r="F427" s="30" t="n"/>
      <c r="G427" s="30" t="n"/>
      <c r="H427" s="30" t="n"/>
      <c r="I427" s="30" t="n"/>
      <c r="J427" s="31">
        <f>IF(AND(ISNUMBER(F427),ISNUMBER(G427)),(F427*IF(ISNUMBER('CALC-3 Budget'!$D$7),'CALC-3 Budget'!$D$7,'CALC-3 Budget'!$C$7)+G427*IF(ISNUMBER('CALC-3 Budget'!$D$8),'CALC-3 Budget'!$D$8,'CALC-3 Budget'!$C$8))/1000000,"")</f>
        <v/>
      </c>
    </row>
    <row r="428">
      <c r="A428" s="30" t="n"/>
      <c r="B428" s="30" t="n"/>
      <c r="C428" s="30" t="n"/>
      <c r="D428" s="30" t="n"/>
      <c r="E428" s="30" t="n"/>
      <c r="F428" s="30" t="n"/>
      <c r="G428" s="30" t="n"/>
      <c r="H428" s="30" t="n"/>
      <c r="I428" s="30" t="n"/>
      <c r="J428" s="31">
        <f>IF(AND(ISNUMBER(F428),ISNUMBER(G428)),(F428*IF(ISNUMBER('CALC-3 Budget'!$D$7),'CALC-3 Budget'!$D$7,'CALC-3 Budget'!$C$7)+G428*IF(ISNUMBER('CALC-3 Budget'!$D$8),'CALC-3 Budget'!$D$8,'CALC-3 Budget'!$C$8))/1000000,"")</f>
        <v/>
      </c>
    </row>
    <row r="429">
      <c r="A429" s="30" t="n"/>
      <c r="B429" s="30" t="n"/>
      <c r="C429" s="30" t="n"/>
      <c r="D429" s="30" t="n"/>
      <c r="E429" s="30" t="n"/>
      <c r="F429" s="30" t="n"/>
      <c r="G429" s="30" t="n"/>
      <c r="H429" s="30" t="n"/>
      <c r="I429" s="30" t="n"/>
      <c r="J429" s="31">
        <f>IF(AND(ISNUMBER(F429),ISNUMBER(G429)),(F429*IF(ISNUMBER('CALC-3 Budget'!$D$7),'CALC-3 Budget'!$D$7,'CALC-3 Budget'!$C$7)+G429*IF(ISNUMBER('CALC-3 Budget'!$D$8),'CALC-3 Budget'!$D$8,'CALC-3 Budget'!$C$8))/1000000,"")</f>
        <v/>
      </c>
    </row>
    <row r="430">
      <c r="A430" s="30" t="n"/>
      <c r="B430" s="30" t="n"/>
      <c r="C430" s="30" t="n"/>
      <c r="D430" s="30" t="n"/>
      <c r="E430" s="30" t="n"/>
      <c r="F430" s="30" t="n"/>
      <c r="G430" s="30" t="n"/>
      <c r="H430" s="30" t="n"/>
      <c r="I430" s="30" t="n"/>
      <c r="J430" s="31">
        <f>IF(AND(ISNUMBER(F430),ISNUMBER(G430)),(F430*IF(ISNUMBER('CALC-3 Budget'!$D$7),'CALC-3 Budget'!$D$7,'CALC-3 Budget'!$C$7)+G430*IF(ISNUMBER('CALC-3 Budget'!$D$8),'CALC-3 Budget'!$D$8,'CALC-3 Budget'!$C$8))/1000000,"")</f>
        <v/>
      </c>
    </row>
    <row r="431">
      <c r="A431" s="30" t="n"/>
      <c r="B431" s="30" t="n"/>
      <c r="C431" s="30" t="n"/>
      <c r="D431" s="30" t="n"/>
      <c r="E431" s="30" t="n"/>
      <c r="F431" s="30" t="n"/>
      <c r="G431" s="30" t="n"/>
      <c r="H431" s="30" t="n"/>
      <c r="I431" s="30" t="n"/>
      <c r="J431" s="31">
        <f>IF(AND(ISNUMBER(F431),ISNUMBER(G431)),(F431*IF(ISNUMBER('CALC-3 Budget'!$D$7),'CALC-3 Budget'!$D$7,'CALC-3 Budget'!$C$7)+G431*IF(ISNUMBER('CALC-3 Budget'!$D$8),'CALC-3 Budget'!$D$8,'CALC-3 Budget'!$C$8))/1000000,"")</f>
        <v/>
      </c>
    </row>
    <row r="432">
      <c r="A432" s="30" t="n"/>
      <c r="B432" s="30" t="n"/>
      <c r="C432" s="30" t="n"/>
      <c r="D432" s="30" t="n"/>
      <c r="E432" s="30" t="n"/>
      <c r="F432" s="30" t="n"/>
      <c r="G432" s="30" t="n"/>
      <c r="H432" s="30" t="n"/>
      <c r="I432" s="30" t="n"/>
      <c r="J432" s="31">
        <f>IF(AND(ISNUMBER(F432),ISNUMBER(G432)),(F432*IF(ISNUMBER('CALC-3 Budget'!$D$7),'CALC-3 Budget'!$D$7,'CALC-3 Budget'!$C$7)+G432*IF(ISNUMBER('CALC-3 Budget'!$D$8),'CALC-3 Budget'!$D$8,'CALC-3 Budget'!$C$8))/1000000,"")</f>
        <v/>
      </c>
    </row>
    <row r="433">
      <c r="A433" s="30" t="n"/>
      <c r="B433" s="30" t="n"/>
      <c r="C433" s="30" t="n"/>
      <c r="D433" s="30" t="n"/>
      <c r="E433" s="30" t="n"/>
      <c r="F433" s="30" t="n"/>
      <c r="G433" s="30" t="n"/>
      <c r="H433" s="30" t="n"/>
      <c r="I433" s="30" t="n"/>
      <c r="J433" s="31">
        <f>IF(AND(ISNUMBER(F433),ISNUMBER(G433)),(F433*IF(ISNUMBER('CALC-3 Budget'!$D$7),'CALC-3 Budget'!$D$7,'CALC-3 Budget'!$C$7)+G433*IF(ISNUMBER('CALC-3 Budget'!$D$8),'CALC-3 Budget'!$D$8,'CALC-3 Budget'!$C$8))/1000000,"")</f>
        <v/>
      </c>
    </row>
    <row r="434">
      <c r="A434" s="30" t="n"/>
      <c r="B434" s="30" t="n"/>
      <c r="C434" s="30" t="n"/>
      <c r="D434" s="30" t="n"/>
      <c r="E434" s="30" t="n"/>
      <c r="F434" s="30" t="n"/>
      <c r="G434" s="30" t="n"/>
      <c r="H434" s="30" t="n"/>
      <c r="I434" s="30" t="n"/>
      <c r="J434" s="31">
        <f>IF(AND(ISNUMBER(F434),ISNUMBER(G434)),(F434*IF(ISNUMBER('CALC-3 Budget'!$D$7),'CALC-3 Budget'!$D$7,'CALC-3 Budget'!$C$7)+G434*IF(ISNUMBER('CALC-3 Budget'!$D$8),'CALC-3 Budget'!$D$8,'CALC-3 Budget'!$C$8))/1000000,"")</f>
        <v/>
      </c>
    </row>
    <row r="435">
      <c r="A435" s="30" t="n"/>
      <c r="B435" s="30" t="n"/>
      <c r="C435" s="30" t="n"/>
      <c r="D435" s="30" t="n"/>
      <c r="E435" s="30" t="n"/>
      <c r="F435" s="30" t="n"/>
      <c r="G435" s="30" t="n"/>
      <c r="H435" s="30" t="n"/>
      <c r="I435" s="30" t="n"/>
      <c r="J435" s="31">
        <f>IF(AND(ISNUMBER(F435),ISNUMBER(G435)),(F435*IF(ISNUMBER('CALC-3 Budget'!$D$7),'CALC-3 Budget'!$D$7,'CALC-3 Budget'!$C$7)+G435*IF(ISNUMBER('CALC-3 Budget'!$D$8),'CALC-3 Budget'!$D$8,'CALC-3 Budget'!$C$8))/1000000,"")</f>
        <v/>
      </c>
    </row>
    <row r="436">
      <c r="A436" s="30" t="n"/>
      <c r="B436" s="30" t="n"/>
      <c r="C436" s="30" t="n"/>
      <c r="D436" s="30" t="n"/>
      <c r="E436" s="30" t="n"/>
      <c r="F436" s="30" t="n"/>
      <c r="G436" s="30" t="n"/>
      <c r="H436" s="30" t="n"/>
      <c r="I436" s="30" t="n"/>
      <c r="J436" s="31">
        <f>IF(AND(ISNUMBER(F436),ISNUMBER(G436)),(F436*IF(ISNUMBER('CALC-3 Budget'!$D$7),'CALC-3 Budget'!$D$7,'CALC-3 Budget'!$C$7)+G436*IF(ISNUMBER('CALC-3 Budget'!$D$8),'CALC-3 Budget'!$D$8,'CALC-3 Budget'!$C$8))/1000000,"")</f>
        <v/>
      </c>
    </row>
    <row r="437">
      <c r="A437" s="30" t="n"/>
      <c r="B437" s="30" t="n"/>
      <c r="C437" s="30" t="n"/>
      <c r="D437" s="30" t="n"/>
      <c r="E437" s="30" t="n"/>
      <c r="F437" s="30" t="n"/>
      <c r="G437" s="30" t="n"/>
      <c r="H437" s="30" t="n"/>
      <c r="I437" s="30" t="n"/>
      <c r="J437" s="31">
        <f>IF(AND(ISNUMBER(F437),ISNUMBER(G437)),(F437*IF(ISNUMBER('CALC-3 Budget'!$D$7),'CALC-3 Budget'!$D$7,'CALC-3 Budget'!$C$7)+G437*IF(ISNUMBER('CALC-3 Budget'!$D$8),'CALC-3 Budget'!$D$8,'CALC-3 Budget'!$C$8))/1000000,"")</f>
        <v/>
      </c>
    </row>
    <row r="438">
      <c r="A438" s="30" t="n"/>
      <c r="B438" s="30" t="n"/>
      <c r="C438" s="30" t="n"/>
      <c r="D438" s="30" t="n"/>
      <c r="E438" s="30" t="n"/>
      <c r="F438" s="30" t="n"/>
      <c r="G438" s="30" t="n"/>
      <c r="H438" s="30" t="n"/>
      <c r="I438" s="30" t="n"/>
      <c r="J438" s="31">
        <f>IF(AND(ISNUMBER(F438),ISNUMBER(G438)),(F438*IF(ISNUMBER('CALC-3 Budget'!$D$7),'CALC-3 Budget'!$D$7,'CALC-3 Budget'!$C$7)+G438*IF(ISNUMBER('CALC-3 Budget'!$D$8),'CALC-3 Budget'!$D$8,'CALC-3 Budget'!$C$8))/1000000,"")</f>
        <v/>
      </c>
    </row>
    <row r="439">
      <c r="A439" s="30" t="n"/>
      <c r="B439" s="30" t="n"/>
      <c r="C439" s="30" t="n"/>
      <c r="D439" s="30" t="n"/>
      <c r="E439" s="30" t="n"/>
      <c r="F439" s="30" t="n"/>
      <c r="G439" s="30" t="n"/>
      <c r="H439" s="30" t="n"/>
      <c r="I439" s="30" t="n"/>
      <c r="J439" s="31">
        <f>IF(AND(ISNUMBER(F439),ISNUMBER(G439)),(F439*IF(ISNUMBER('CALC-3 Budget'!$D$7),'CALC-3 Budget'!$D$7,'CALC-3 Budget'!$C$7)+G439*IF(ISNUMBER('CALC-3 Budget'!$D$8),'CALC-3 Budget'!$D$8,'CALC-3 Budget'!$C$8))/1000000,"")</f>
        <v/>
      </c>
    </row>
    <row r="440">
      <c r="A440" s="30" t="n"/>
      <c r="B440" s="30" t="n"/>
      <c r="C440" s="30" t="n"/>
      <c r="D440" s="30" t="n"/>
      <c r="E440" s="30" t="n"/>
      <c r="F440" s="30" t="n"/>
      <c r="G440" s="30" t="n"/>
      <c r="H440" s="30" t="n"/>
      <c r="I440" s="30" t="n"/>
      <c r="J440" s="31">
        <f>IF(AND(ISNUMBER(F440),ISNUMBER(G440)),(F440*IF(ISNUMBER('CALC-3 Budget'!$D$7),'CALC-3 Budget'!$D$7,'CALC-3 Budget'!$C$7)+G440*IF(ISNUMBER('CALC-3 Budget'!$D$8),'CALC-3 Budget'!$D$8,'CALC-3 Budget'!$C$8))/1000000,"")</f>
        <v/>
      </c>
    </row>
    <row r="441">
      <c r="A441" s="30" t="n"/>
      <c r="B441" s="30" t="n"/>
      <c r="C441" s="30" t="n"/>
      <c r="D441" s="30" t="n"/>
      <c r="E441" s="30" t="n"/>
      <c r="F441" s="30" t="n"/>
      <c r="G441" s="30" t="n"/>
      <c r="H441" s="30" t="n"/>
      <c r="I441" s="30" t="n"/>
      <c r="J441" s="31">
        <f>IF(AND(ISNUMBER(F441),ISNUMBER(G441)),(F441*IF(ISNUMBER('CALC-3 Budget'!$D$7),'CALC-3 Budget'!$D$7,'CALC-3 Budget'!$C$7)+G441*IF(ISNUMBER('CALC-3 Budget'!$D$8),'CALC-3 Budget'!$D$8,'CALC-3 Budget'!$C$8))/1000000,"")</f>
        <v/>
      </c>
    </row>
    <row r="442">
      <c r="A442" s="30" t="n"/>
      <c r="B442" s="30" t="n"/>
      <c r="C442" s="30" t="n"/>
      <c r="D442" s="30" t="n"/>
      <c r="E442" s="30" t="n"/>
      <c r="F442" s="30" t="n"/>
      <c r="G442" s="30" t="n"/>
      <c r="H442" s="30" t="n"/>
      <c r="I442" s="30" t="n"/>
      <c r="J442" s="31">
        <f>IF(AND(ISNUMBER(F442),ISNUMBER(G442)),(F442*IF(ISNUMBER('CALC-3 Budget'!$D$7),'CALC-3 Budget'!$D$7,'CALC-3 Budget'!$C$7)+G442*IF(ISNUMBER('CALC-3 Budget'!$D$8),'CALC-3 Budget'!$D$8,'CALC-3 Budget'!$C$8))/1000000,"")</f>
        <v/>
      </c>
    </row>
    <row r="443">
      <c r="A443" s="30" t="n"/>
      <c r="B443" s="30" t="n"/>
      <c r="C443" s="30" t="n"/>
      <c r="D443" s="30" t="n"/>
      <c r="E443" s="30" t="n"/>
      <c r="F443" s="30" t="n"/>
      <c r="G443" s="30" t="n"/>
      <c r="H443" s="30" t="n"/>
      <c r="I443" s="30" t="n"/>
      <c r="J443" s="31">
        <f>IF(AND(ISNUMBER(F443),ISNUMBER(G443)),(F443*IF(ISNUMBER('CALC-3 Budget'!$D$7),'CALC-3 Budget'!$D$7,'CALC-3 Budget'!$C$7)+G443*IF(ISNUMBER('CALC-3 Budget'!$D$8),'CALC-3 Budget'!$D$8,'CALC-3 Budget'!$C$8))/1000000,"")</f>
        <v/>
      </c>
    </row>
    <row r="444">
      <c r="A444" s="30" t="n"/>
      <c r="B444" s="30" t="n"/>
      <c r="C444" s="30" t="n"/>
      <c r="D444" s="30" t="n"/>
      <c r="E444" s="30" t="n"/>
      <c r="F444" s="30" t="n"/>
      <c r="G444" s="30" t="n"/>
      <c r="H444" s="30" t="n"/>
      <c r="I444" s="30" t="n"/>
      <c r="J444" s="31">
        <f>IF(AND(ISNUMBER(F444),ISNUMBER(G444)),(F444*IF(ISNUMBER('CALC-3 Budget'!$D$7),'CALC-3 Budget'!$D$7,'CALC-3 Budget'!$C$7)+G444*IF(ISNUMBER('CALC-3 Budget'!$D$8),'CALC-3 Budget'!$D$8,'CALC-3 Budget'!$C$8))/1000000,"")</f>
        <v/>
      </c>
    </row>
    <row r="445">
      <c r="A445" s="30" t="n"/>
      <c r="B445" s="30" t="n"/>
      <c r="C445" s="30" t="n"/>
      <c r="D445" s="30" t="n"/>
      <c r="E445" s="30" t="n"/>
      <c r="F445" s="30" t="n"/>
      <c r="G445" s="30" t="n"/>
      <c r="H445" s="30" t="n"/>
      <c r="I445" s="30" t="n"/>
      <c r="J445" s="31">
        <f>IF(AND(ISNUMBER(F445),ISNUMBER(G445)),(F445*IF(ISNUMBER('CALC-3 Budget'!$D$7),'CALC-3 Budget'!$D$7,'CALC-3 Budget'!$C$7)+G445*IF(ISNUMBER('CALC-3 Budget'!$D$8),'CALC-3 Budget'!$D$8,'CALC-3 Budget'!$C$8))/1000000,"")</f>
        <v/>
      </c>
    </row>
    <row r="446">
      <c r="A446" s="30" t="n"/>
      <c r="B446" s="30" t="n"/>
      <c r="C446" s="30" t="n"/>
      <c r="D446" s="30" t="n"/>
      <c r="E446" s="30" t="n"/>
      <c r="F446" s="30" t="n"/>
      <c r="G446" s="30" t="n"/>
      <c r="H446" s="30" t="n"/>
      <c r="I446" s="30" t="n"/>
      <c r="J446" s="31">
        <f>IF(AND(ISNUMBER(F446),ISNUMBER(G446)),(F446*IF(ISNUMBER('CALC-3 Budget'!$D$7),'CALC-3 Budget'!$D$7,'CALC-3 Budget'!$C$7)+G446*IF(ISNUMBER('CALC-3 Budget'!$D$8),'CALC-3 Budget'!$D$8,'CALC-3 Budget'!$C$8))/1000000,"")</f>
        <v/>
      </c>
    </row>
    <row r="447">
      <c r="A447" s="30" t="n"/>
      <c r="B447" s="30" t="n"/>
      <c r="C447" s="30" t="n"/>
      <c r="D447" s="30" t="n"/>
      <c r="E447" s="30" t="n"/>
      <c r="F447" s="30" t="n"/>
      <c r="G447" s="30" t="n"/>
      <c r="H447" s="30" t="n"/>
      <c r="I447" s="30" t="n"/>
      <c r="J447" s="31">
        <f>IF(AND(ISNUMBER(F447),ISNUMBER(G447)),(F447*IF(ISNUMBER('CALC-3 Budget'!$D$7),'CALC-3 Budget'!$D$7,'CALC-3 Budget'!$C$7)+G447*IF(ISNUMBER('CALC-3 Budget'!$D$8),'CALC-3 Budget'!$D$8,'CALC-3 Budget'!$C$8))/1000000,"")</f>
        <v/>
      </c>
    </row>
    <row r="448">
      <c r="A448" s="30" t="n"/>
      <c r="B448" s="30" t="n"/>
      <c r="C448" s="30" t="n"/>
      <c r="D448" s="30" t="n"/>
      <c r="E448" s="30" t="n"/>
      <c r="F448" s="30" t="n"/>
      <c r="G448" s="30" t="n"/>
      <c r="H448" s="30" t="n"/>
      <c r="I448" s="30" t="n"/>
      <c r="J448" s="31">
        <f>IF(AND(ISNUMBER(F448),ISNUMBER(G448)),(F448*IF(ISNUMBER('CALC-3 Budget'!$D$7),'CALC-3 Budget'!$D$7,'CALC-3 Budget'!$C$7)+G448*IF(ISNUMBER('CALC-3 Budget'!$D$8),'CALC-3 Budget'!$D$8,'CALC-3 Budget'!$C$8))/1000000,"")</f>
        <v/>
      </c>
    </row>
    <row r="449">
      <c r="A449" s="30" t="n"/>
      <c r="B449" s="30" t="n"/>
      <c r="C449" s="30" t="n"/>
      <c r="D449" s="30" t="n"/>
      <c r="E449" s="30" t="n"/>
      <c r="F449" s="30" t="n"/>
      <c r="G449" s="30" t="n"/>
      <c r="H449" s="30" t="n"/>
      <c r="I449" s="30" t="n"/>
      <c r="J449" s="31">
        <f>IF(AND(ISNUMBER(F449),ISNUMBER(G449)),(F449*IF(ISNUMBER('CALC-3 Budget'!$D$7),'CALC-3 Budget'!$D$7,'CALC-3 Budget'!$C$7)+G449*IF(ISNUMBER('CALC-3 Budget'!$D$8),'CALC-3 Budget'!$D$8,'CALC-3 Budget'!$C$8))/1000000,"")</f>
        <v/>
      </c>
    </row>
    <row r="450">
      <c r="A450" s="30" t="n"/>
      <c r="B450" s="30" t="n"/>
      <c r="C450" s="30" t="n"/>
      <c r="D450" s="30" t="n"/>
      <c r="E450" s="30" t="n"/>
      <c r="F450" s="30" t="n"/>
      <c r="G450" s="30" t="n"/>
      <c r="H450" s="30" t="n"/>
      <c r="I450" s="30" t="n"/>
      <c r="J450" s="31">
        <f>IF(AND(ISNUMBER(F450),ISNUMBER(G450)),(F450*IF(ISNUMBER('CALC-3 Budget'!$D$7),'CALC-3 Budget'!$D$7,'CALC-3 Budget'!$C$7)+G450*IF(ISNUMBER('CALC-3 Budget'!$D$8),'CALC-3 Budget'!$D$8,'CALC-3 Budget'!$C$8))/1000000,"")</f>
        <v/>
      </c>
    </row>
    <row r="451">
      <c r="A451" s="30" t="n"/>
      <c r="B451" s="30" t="n"/>
      <c r="C451" s="30" t="n"/>
      <c r="D451" s="30" t="n"/>
      <c r="E451" s="30" t="n"/>
      <c r="F451" s="30" t="n"/>
      <c r="G451" s="30" t="n"/>
      <c r="H451" s="30" t="n"/>
      <c r="I451" s="30" t="n"/>
      <c r="J451" s="31">
        <f>IF(AND(ISNUMBER(F451),ISNUMBER(G451)),(F451*IF(ISNUMBER('CALC-3 Budget'!$D$7),'CALC-3 Budget'!$D$7,'CALC-3 Budget'!$C$7)+G451*IF(ISNUMBER('CALC-3 Budget'!$D$8),'CALC-3 Budget'!$D$8,'CALC-3 Budget'!$C$8))/1000000,"")</f>
        <v/>
      </c>
    </row>
    <row r="452">
      <c r="A452" s="30" t="n"/>
      <c r="B452" s="30" t="n"/>
      <c r="C452" s="30" t="n"/>
      <c r="D452" s="30" t="n"/>
      <c r="E452" s="30" t="n"/>
      <c r="F452" s="30" t="n"/>
      <c r="G452" s="30" t="n"/>
      <c r="H452" s="30" t="n"/>
      <c r="I452" s="30" t="n"/>
      <c r="J452" s="31">
        <f>IF(AND(ISNUMBER(F452),ISNUMBER(G452)),(F452*IF(ISNUMBER('CALC-3 Budget'!$D$7),'CALC-3 Budget'!$D$7,'CALC-3 Budget'!$C$7)+G452*IF(ISNUMBER('CALC-3 Budget'!$D$8),'CALC-3 Budget'!$D$8,'CALC-3 Budget'!$C$8))/1000000,"")</f>
        <v/>
      </c>
    </row>
    <row r="453">
      <c r="A453" s="30" t="n"/>
      <c r="B453" s="30" t="n"/>
      <c r="C453" s="30" t="n"/>
      <c r="D453" s="30" t="n"/>
      <c r="E453" s="30" t="n"/>
      <c r="F453" s="30" t="n"/>
      <c r="G453" s="30" t="n"/>
      <c r="H453" s="30" t="n"/>
      <c r="I453" s="30" t="n"/>
      <c r="J453" s="31">
        <f>IF(AND(ISNUMBER(F453),ISNUMBER(G453)),(F453*IF(ISNUMBER('CALC-3 Budget'!$D$7),'CALC-3 Budget'!$D$7,'CALC-3 Budget'!$C$7)+G453*IF(ISNUMBER('CALC-3 Budget'!$D$8),'CALC-3 Budget'!$D$8,'CALC-3 Budget'!$C$8))/1000000,"")</f>
        <v/>
      </c>
    </row>
    <row r="454">
      <c r="A454" s="30" t="n"/>
      <c r="B454" s="30" t="n"/>
      <c r="C454" s="30" t="n"/>
      <c r="D454" s="30" t="n"/>
      <c r="E454" s="30" t="n"/>
      <c r="F454" s="30" t="n"/>
      <c r="G454" s="30" t="n"/>
      <c r="H454" s="30" t="n"/>
      <c r="I454" s="30" t="n"/>
      <c r="J454" s="31">
        <f>IF(AND(ISNUMBER(F454),ISNUMBER(G454)),(F454*IF(ISNUMBER('CALC-3 Budget'!$D$7),'CALC-3 Budget'!$D$7,'CALC-3 Budget'!$C$7)+G454*IF(ISNUMBER('CALC-3 Budget'!$D$8),'CALC-3 Budget'!$D$8,'CALC-3 Budget'!$C$8))/1000000,"")</f>
        <v/>
      </c>
    </row>
    <row r="455">
      <c r="A455" s="30" t="n"/>
      <c r="B455" s="30" t="n"/>
      <c r="C455" s="30" t="n"/>
      <c r="D455" s="30" t="n"/>
      <c r="E455" s="30" t="n"/>
      <c r="F455" s="30" t="n"/>
      <c r="G455" s="30" t="n"/>
      <c r="H455" s="30" t="n"/>
      <c r="I455" s="30" t="n"/>
      <c r="J455" s="31">
        <f>IF(AND(ISNUMBER(F455),ISNUMBER(G455)),(F455*IF(ISNUMBER('CALC-3 Budget'!$D$7),'CALC-3 Budget'!$D$7,'CALC-3 Budget'!$C$7)+G455*IF(ISNUMBER('CALC-3 Budget'!$D$8),'CALC-3 Budget'!$D$8,'CALC-3 Budget'!$C$8))/1000000,"")</f>
        <v/>
      </c>
    </row>
    <row r="456">
      <c r="A456" s="30" t="n"/>
      <c r="B456" s="30" t="n"/>
      <c r="C456" s="30" t="n"/>
      <c r="D456" s="30" t="n"/>
      <c r="E456" s="30" t="n"/>
      <c r="F456" s="30" t="n"/>
      <c r="G456" s="30" t="n"/>
      <c r="H456" s="30" t="n"/>
      <c r="I456" s="30" t="n"/>
      <c r="J456" s="31">
        <f>IF(AND(ISNUMBER(F456),ISNUMBER(G456)),(F456*IF(ISNUMBER('CALC-3 Budget'!$D$7),'CALC-3 Budget'!$D$7,'CALC-3 Budget'!$C$7)+G456*IF(ISNUMBER('CALC-3 Budget'!$D$8),'CALC-3 Budget'!$D$8,'CALC-3 Budget'!$C$8))/1000000,"")</f>
        <v/>
      </c>
    </row>
    <row r="457">
      <c r="A457" s="30" t="n"/>
      <c r="B457" s="30" t="n"/>
      <c r="C457" s="30" t="n"/>
      <c r="D457" s="30" t="n"/>
      <c r="E457" s="30" t="n"/>
      <c r="F457" s="30" t="n"/>
      <c r="G457" s="30" t="n"/>
      <c r="H457" s="30" t="n"/>
      <c r="I457" s="30" t="n"/>
      <c r="J457" s="31">
        <f>IF(AND(ISNUMBER(F457),ISNUMBER(G457)),(F457*IF(ISNUMBER('CALC-3 Budget'!$D$7),'CALC-3 Budget'!$D$7,'CALC-3 Budget'!$C$7)+G457*IF(ISNUMBER('CALC-3 Budget'!$D$8),'CALC-3 Budget'!$D$8,'CALC-3 Budget'!$C$8))/1000000,"")</f>
        <v/>
      </c>
    </row>
    <row r="458">
      <c r="A458" s="30" t="n"/>
      <c r="B458" s="30" t="n"/>
      <c r="C458" s="30" t="n"/>
      <c r="D458" s="30" t="n"/>
      <c r="E458" s="30" t="n"/>
      <c r="F458" s="30" t="n"/>
      <c r="G458" s="30" t="n"/>
      <c r="H458" s="30" t="n"/>
      <c r="I458" s="30" t="n"/>
      <c r="J458" s="31">
        <f>IF(AND(ISNUMBER(F458),ISNUMBER(G458)),(F458*IF(ISNUMBER('CALC-3 Budget'!$D$7),'CALC-3 Budget'!$D$7,'CALC-3 Budget'!$C$7)+G458*IF(ISNUMBER('CALC-3 Budget'!$D$8),'CALC-3 Budget'!$D$8,'CALC-3 Budget'!$C$8))/1000000,"")</f>
        <v/>
      </c>
    </row>
    <row r="459">
      <c r="A459" s="30" t="n"/>
      <c r="B459" s="30" t="n"/>
      <c r="C459" s="30" t="n"/>
      <c r="D459" s="30" t="n"/>
      <c r="E459" s="30" t="n"/>
      <c r="F459" s="30" t="n"/>
      <c r="G459" s="30" t="n"/>
      <c r="H459" s="30" t="n"/>
      <c r="I459" s="30" t="n"/>
      <c r="J459" s="31">
        <f>IF(AND(ISNUMBER(F459),ISNUMBER(G459)),(F459*IF(ISNUMBER('CALC-3 Budget'!$D$7),'CALC-3 Budget'!$D$7,'CALC-3 Budget'!$C$7)+G459*IF(ISNUMBER('CALC-3 Budget'!$D$8),'CALC-3 Budget'!$D$8,'CALC-3 Budget'!$C$8))/1000000,"")</f>
        <v/>
      </c>
    </row>
    <row r="460">
      <c r="A460" s="30" t="n"/>
      <c r="B460" s="30" t="n"/>
      <c r="C460" s="30" t="n"/>
      <c r="D460" s="30" t="n"/>
      <c r="E460" s="30" t="n"/>
      <c r="F460" s="30" t="n"/>
      <c r="G460" s="30" t="n"/>
      <c r="H460" s="30" t="n"/>
      <c r="I460" s="30" t="n"/>
      <c r="J460" s="31">
        <f>IF(AND(ISNUMBER(F460),ISNUMBER(G460)),(F460*IF(ISNUMBER('CALC-3 Budget'!$D$7),'CALC-3 Budget'!$D$7,'CALC-3 Budget'!$C$7)+G460*IF(ISNUMBER('CALC-3 Budget'!$D$8),'CALC-3 Budget'!$D$8,'CALC-3 Budget'!$C$8))/1000000,"")</f>
        <v/>
      </c>
    </row>
    <row r="461">
      <c r="A461" s="30" t="n"/>
      <c r="B461" s="30" t="n"/>
      <c r="C461" s="30" t="n"/>
      <c r="D461" s="30" t="n"/>
      <c r="E461" s="30" t="n"/>
      <c r="F461" s="30" t="n"/>
      <c r="G461" s="30" t="n"/>
      <c r="H461" s="30" t="n"/>
      <c r="I461" s="30" t="n"/>
      <c r="J461" s="31">
        <f>IF(AND(ISNUMBER(F461),ISNUMBER(G461)),(F461*IF(ISNUMBER('CALC-3 Budget'!$D$7),'CALC-3 Budget'!$D$7,'CALC-3 Budget'!$C$7)+G461*IF(ISNUMBER('CALC-3 Budget'!$D$8),'CALC-3 Budget'!$D$8,'CALC-3 Budget'!$C$8))/1000000,"")</f>
        <v/>
      </c>
    </row>
    <row r="462">
      <c r="A462" s="30" t="n"/>
      <c r="B462" s="30" t="n"/>
      <c r="C462" s="30" t="n"/>
      <c r="D462" s="30" t="n"/>
      <c r="E462" s="30" t="n"/>
      <c r="F462" s="30" t="n"/>
      <c r="G462" s="30" t="n"/>
      <c r="H462" s="30" t="n"/>
      <c r="I462" s="30" t="n"/>
      <c r="J462" s="31">
        <f>IF(AND(ISNUMBER(F462),ISNUMBER(G462)),(F462*IF(ISNUMBER('CALC-3 Budget'!$D$7),'CALC-3 Budget'!$D$7,'CALC-3 Budget'!$C$7)+G462*IF(ISNUMBER('CALC-3 Budget'!$D$8),'CALC-3 Budget'!$D$8,'CALC-3 Budget'!$C$8))/1000000,"")</f>
        <v/>
      </c>
    </row>
    <row r="463">
      <c r="A463" s="30" t="n"/>
      <c r="B463" s="30" t="n"/>
      <c r="C463" s="30" t="n"/>
      <c r="D463" s="30" t="n"/>
      <c r="E463" s="30" t="n"/>
      <c r="F463" s="30" t="n"/>
      <c r="G463" s="30" t="n"/>
      <c r="H463" s="30" t="n"/>
      <c r="I463" s="30" t="n"/>
      <c r="J463" s="31">
        <f>IF(AND(ISNUMBER(F463),ISNUMBER(G463)),(F463*IF(ISNUMBER('CALC-3 Budget'!$D$7),'CALC-3 Budget'!$D$7,'CALC-3 Budget'!$C$7)+G463*IF(ISNUMBER('CALC-3 Budget'!$D$8),'CALC-3 Budget'!$D$8,'CALC-3 Budget'!$C$8))/1000000,"")</f>
        <v/>
      </c>
    </row>
    <row r="464">
      <c r="A464" s="30" t="n"/>
      <c r="B464" s="30" t="n"/>
      <c r="C464" s="30" t="n"/>
      <c r="D464" s="30" t="n"/>
      <c r="E464" s="30" t="n"/>
      <c r="F464" s="30" t="n"/>
      <c r="G464" s="30" t="n"/>
      <c r="H464" s="30" t="n"/>
      <c r="I464" s="30" t="n"/>
      <c r="J464" s="31">
        <f>IF(AND(ISNUMBER(F464),ISNUMBER(G464)),(F464*IF(ISNUMBER('CALC-3 Budget'!$D$7),'CALC-3 Budget'!$D$7,'CALC-3 Budget'!$C$7)+G464*IF(ISNUMBER('CALC-3 Budget'!$D$8),'CALC-3 Budget'!$D$8,'CALC-3 Budget'!$C$8))/1000000,"")</f>
        <v/>
      </c>
    </row>
    <row r="465">
      <c r="A465" s="30" t="n"/>
      <c r="B465" s="30" t="n"/>
      <c r="C465" s="30" t="n"/>
      <c r="D465" s="30" t="n"/>
      <c r="E465" s="30" t="n"/>
      <c r="F465" s="30" t="n"/>
      <c r="G465" s="30" t="n"/>
      <c r="H465" s="30" t="n"/>
      <c r="I465" s="30" t="n"/>
      <c r="J465" s="31">
        <f>IF(AND(ISNUMBER(F465),ISNUMBER(G465)),(F465*IF(ISNUMBER('CALC-3 Budget'!$D$7),'CALC-3 Budget'!$D$7,'CALC-3 Budget'!$C$7)+G465*IF(ISNUMBER('CALC-3 Budget'!$D$8),'CALC-3 Budget'!$D$8,'CALC-3 Budget'!$C$8))/1000000,"")</f>
        <v/>
      </c>
    </row>
    <row r="466">
      <c r="A466" s="30" t="n"/>
      <c r="B466" s="30" t="n"/>
      <c r="C466" s="30" t="n"/>
      <c r="D466" s="30" t="n"/>
      <c r="E466" s="30" t="n"/>
      <c r="F466" s="30" t="n"/>
      <c r="G466" s="30" t="n"/>
      <c r="H466" s="30" t="n"/>
      <c r="I466" s="30" t="n"/>
      <c r="J466" s="31">
        <f>IF(AND(ISNUMBER(F466),ISNUMBER(G466)),(F466*IF(ISNUMBER('CALC-3 Budget'!$D$7),'CALC-3 Budget'!$D$7,'CALC-3 Budget'!$C$7)+G466*IF(ISNUMBER('CALC-3 Budget'!$D$8),'CALC-3 Budget'!$D$8,'CALC-3 Budget'!$C$8))/1000000,"")</f>
        <v/>
      </c>
    </row>
    <row r="467">
      <c r="A467" s="30" t="n"/>
      <c r="B467" s="30" t="n"/>
      <c r="C467" s="30" t="n"/>
      <c r="D467" s="30" t="n"/>
      <c r="E467" s="30" t="n"/>
      <c r="F467" s="30" t="n"/>
      <c r="G467" s="30" t="n"/>
      <c r="H467" s="30" t="n"/>
      <c r="I467" s="30" t="n"/>
      <c r="J467" s="31">
        <f>IF(AND(ISNUMBER(F467),ISNUMBER(G467)),(F467*IF(ISNUMBER('CALC-3 Budget'!$D$7),'CALC-3 Budget'!$D$7,'CALC-3 Budget'!$C$7)+G467*IF(ISNUMBER('CALC-3 Budget'!$D$8),'CALC-3 Budget'!$D$8,'CALC-3 Budget'!$C$8))/1000000,"")</f>
        <v/>
      </c>
    </row>
    <row r="468">
      <c r="A468" s="30" t="n"/>
      <c r="B468" s="30" t="n"/>
      <c r="C468" s="30" t="n"/>
      <c r="D468" s="30" t="n"/>
      <c r="E468" s="30" t="n"/>
      <c r="F468" s="30" t="n"/>
      <c r="G468" s="30" t="n"/>
      <c r="H468" s="30" t="n"/>
      <c r="I468" s="30" t="n"/>
      <c r="J468" s="31">
        <f>IF(AND(ISNUMBER(F468),ISNUMBER(G468)),(F468*IF(ISNUMBER('CALC-3 Budget'!$D$7),'CALC-3 Budget'!$D$7,'CALC-3 Budget'!$C$7)+G468*IF(ISNUMBER('CALC-3 Budget'!$D$8),'CALC-3 Budget'!$D$8,'CALC-3 Budget'!$C$8))/1000000,"")</f>
        <v/>
      </c>
    </row>
    <row r="469">
      <c r="A469" s="30" t="n"/>
      <c r="B469" s="30" t="n"/>
      <c r="C469" s="30" t="n"/>
      <c r="D469" s="30" t="n"/>
      <c r="E469" s="30" t="n"/>
      <c r="F469" s="30" t="n"/>
      <c r="G469" s="30" t="n"/>
      <c r="H469" s="30" t="n"/>
      <c r="I469" s="30" t="n"/>
      <c r="J469" s="31">
        <f>IF(AND(ISNUMBER(F469),ISNUMBER(G469)),(F469*IF(ISNUMBER('CALC-3 Budget'!$D$7),'CALC-3 Budget'!$D$7,'CALC-3 Budget'!$C$7)+G469*IF(ISNUMBER('CALC-3 Budget'!$D$8),'CALC-3 Budget'!$D$8,'CALC-3 Budget'!$C$8))/1000000,"")</f>
        <v/>
      </c>
    </row>
    <row r="470">
      <c r="A470" s="30" t="n"/>
      <c r="B470" s="30" t="n"/>
      <c r="C470" s="30" t="n"/>
      <c r="D470" s="30" t="n"/>
      <c r="E470" s="30" t="n"/>
      <c r="F470" s="30" t="n"/>
      <c r="G470" s="30" t="n"/>
      <c r="H470" s="30" t="n"/>
      <c r="I470" s="30" t="n"/>
      <c r="J470" s="31">
        <f>IF(AND(ISNUMBER(F470),ISNUMBER(G470)),(F470*IF(ISNUMBER('CALC-3 Budget'!$D$7),'CALC-3 Budget'!$D$7,'CALC-3 Budget'!$C$7)+G470*IF(ISNUMBER('CALC-3 Budget'!$D$8),'CALC-3 Budget'!$D$8,'CALC-3 Budget'!$C$8))/1000000,"")</f>
        <v/>
      </c>
    </row>
    <row r="471">
      <c r="A471" s="30" t="n"/>
      <c r="B471" s="30" t="n"/>
      <c r="C471" s="30" t="n"/>
      <c r="D471" s="30" t="n"/>
      <c r="E471" s="30" t="n"/>
      <c r="F471" s="30" t="n"/>
      <c r="G471" s="30" t="n"/>
      <c r="H471" s="30" t="n"/>
      <c r="I471" s="30" t="n"/>
      <c r="J471" s="31">
        <f>IF(AND(ISNUMBER(F471),ISNUMBER(G471)),(F471*IF(ISNUMBER('CALC-3 Budget'!$D$7),'CALC-3 Budget'!$D$7,'CALC-3 Budget'!$C$7)+G471*IF(ISNUMBER('CALC-3 Budget'!$D$8),'CALC-3 Budget'!$D$8,'CALC-3 Budget'!$C$8))/1000000,"")</f>
        <v/>
      </c>
    </row>
    <row r="472">
      <c r="A472" s="30" t="n"/>
      <c r="B472" s="30" t="n"/>
      <c r="C472" s="30" t="n"/>
      <c r="D472" s="30" t="n"/>
      <c r="E472" s="30" t="n"/>
      <c r="F472" s="30" t="n"/>
      <c r="G472" s="30" t="n"/>
      <c r="H472" s="30" t="n"/>
      <c r="I472" s="30" t="n"/>
      <c r="J472" s="31">
        <f>IF(AND(ISNUMBER(F472),ISNUMBER(G472)),(F472*IF(ISNUMBER('CALC-3 Budget'!$D$7),'CALC-3 Budget'!$D$7,'CALC-3 Budget'!$C$7)+G472*IF(ISNUMBER('CALC-3 Budget'!$D$8),'CALC-3 Budget'!$D$8,'CALC-3 Budget'!$C$8))/1000000,"")</f>
        <v/>
      </c>
    </row>
    <row r="473">
      <c r="A473" s="30" t="n"/>
      <c r="B473" s="30" t="n"/>
      <c r="C473" s="30" t="n"/>
      <c r="D473" s="30" t="n"/>
      <c r="E473" s="30" t="n"/>
      <c r="F473" s="30" t="n"/>
      <c r="G473" s="30" t="n"/>
      <c r="H473" s="30" t="n"/>
      <c r="I473" s="30" t="n"/>
      <c r="J473" s="31">
        <f>IF(AND(ISNUMBER(F473),ISNUMBER(G473)),(F473*IF(ISNUMBER('CALC-3 Budget'!$D$7),'CALC-3 Budget'!$D$7,'CALC-3 Budget'!$C$7)+G473*IF(ISNUMBER('CALC-3 Budget'!$D$8),'CALC-3 Budget'!$D$8,'CALC-3 Budget'!$C$8))/1000000,"")</f>
        <v/>
      </c>
    </row>
    <row r="474">
      <c r="A474" s="30" t="n"/>
      <c r="B474" s="30" t="n"/>
      <c r="C474" s="30" t="n"/>
      <c r="D474" s="30" t="n"/>
      <c r="E474" s="30" t="n"/>
      <c r="F474" s="30" t="n"/>
      <c r="G474" s="30" t="n"/>
      <c r="H474" s="30" t="n"/>
      <c r="I474" s="30" t="n"/>
      <c r="J474" s="31">
        <f>IF(AND(ISNUMBER(F474),ISNUMBER(G474)),(F474*IF(ISNUMBER('CALC-3 Budget'!$D$7),'CALC-3 Budget'!$D$7,'CALC-3 Budget'!$C$7)+G474*IF(ISNUMBER('CALC-3 Budget'!$D$8),'CALC-3 Budget'!$D$8,'CALC-3 Budget'!$C$8))/1000000,"")</f>
        <v/>
      </c>
    </row>
    <row r="475">
      <c r="A475" s="30" t="n"/>
      <c r="B475" s="30" t="n"/>
      <c r="C475" s="30" t="n"/>
      <c r="D475" s="30" t="n"/>
      <c r="E475" s="30" t="n"/>
      <c r="F475" s="30" t="n"/>
      <c r="G475" s="30" t="n"/>
      <c r="H475" s="30" t="n"/>
      <c r="I475" s="30" t="n"/>
      <c r="J475" s="31">
        <f>IF(AND(ISNUMBER(F475),ISNUMBER(G475)),(F475*IF(ISNUMBER('CALC-3 Budget'!$D$7),'CALC-3 Budget'!$D$7,'CALC-3 Budget'!$C$7)+G475*IF(ISNUMBER('CALC-3 Budget'!$D$8),'CALC-3 Budget'!$D$8,'CALC-3 Budget'!$C$8))/1000000,"")</f>
        <v/>
      </c>
    </row>
    <row r="476">
      <c r="A476" s="30" t="n"/>
      <c r="B476" s="30" t="n"/>
      <c r="C476" s="30" t="n"/>
      <c r="D476" s="30" t="n"/>
      <c r="E476" s="30" t="n"/>
      <c r="F476" s="30" t="n"/>
      <c r="G476" s="30" t="n"/>
      <c r="H476" s="30" t="n"/>
      <c r="I476" s="30" t="n"/>
      <c r="J476" s="31">
        <f>IF(AND(ISNUMBER(F476),ISNUMBER(G476)),(F476*IF(ISNUMBER('CALC-3 Budget'!$D$7),'CALC-3 Budget'!$D$7,'CALC-3 Budget'!$C$7)+G476*IF(ISNUMBER('CALC-3 Budget'!$D$8),'CALC-3 Budget'!$D$8,'CALC-3 Budget'!$C$8))/1000000,"")</f>
        <v/>
      </c>
    </row>
    <row r="477">
      <c r="A477" s="30" t="n"/>
      <c r="B477" s="30" t="n"/>
      <c r="C477" s="30" t="n"/>
      <c r="D477" s="30" t="n"/>
      <c r="E477" s="30" t="n"/>
      <c r="F477" s="30" t="n"/>
      <c r="G477" s="30" t="n"/>
      <c r="H477" s="30" t="n"/>
      <c r="I477" s="30" t="n"/>
      <c r="J477" s="31">
        <f>IF(AND(ISNUMBER(F477),ISNUMBER(G477)),(F477*IF(ISNUMBER('CALC-3 Budget'!$D$7),'CALC-3 Budget'!$D$7,'CALC-3 Budget'!$C$7)+G477*IF(ISNUMBER('CALC-3 Budget'!$D$8),'CALC-3 Budget'!$D$8,'CALC-3 Budget'!$C$8))/1000000,"")</f>
        <v/>
      </c>
    </row>
    <row r="478">
      <c r="A478" s="30" t="n"/>
      <c r="B478" s="30" t="n"/>
      <c r="C478" s="30" t="n"/>
      <c r="D478" s="30" t="n"/>
      <c r="E478" s="30" t="n"/>
      <c r="F478" s="30" t="n"/>
      <c r="G478" s="30" t="n"/>
      <c r="H478" s="30" t="n"/>
      <c r="I478" s="30" t="n"/>
      <c r="J478" s="31">
        <f>IF(AND(ISNUMBER(F478),ISNUMBER(G478)),(F478*IF(ISNUMBER('CALC-3 Budget'!$D$7),'CALC-3 Budget'!$D$7,'CALC-3 Budget'!$C$7)+G478*IF(ISNUMBER('CALC-3 Budget'!$D$8),'CALC-3 Budget'!$D$8,'CALC-3 Budget'!$C$8))/1000000,"")</f>
        <v/>
      </c>
    </row>
    <row r="479">
      <c r="A479" s="30" t="n"/>
      <c r="B479" s="30" t="n"/>
      <c r="C479" s="30" t="n"/>
      <c r="D479" s="30" t="n"/>
      <c r="E479" s="30" t="n"/>
      <c r="F479" s="30" t="n"/>
      <c r="G479" s="30" t="n"/>
      <c r="H479" s="30" t="n"/>
      <c r="I479" s="30" t="n"/>
      <c r="J479" s="31">
        <f>IF(AND(ISNUMBER(F479),ISNUMBER(G479)),(F479*IF(ISNUMBER('CALC-3 Budget'!$D$7),'CALC-3 Budget'!$D$7,'CALC-3 Budget'!$C$7)+G479*IF(ISNUMBER('CALC-3 Budget'!$D$8),'CALC-3 Budget'!$D$8,'CALC-3 Budget'!$C$8))/1000000,"")</f>
        <v/>
      </c>
    </row>
    <row r="480">
      <c r="A480" s="30" t="n"/>
      <c r="B480" s="30" t="n"/>
      <c r="C480" s="30" t="n"/>
      <c r="D480" s="30" t="n"/>
      <c r="E480" s="30" t="n"/>
      <c r="F480" s="30" t="n"/>
      <c r="G480" s="30" t="n"/>
      <c r="H480" s="30" t="n"/>
      <c r="I480" s="30" t="n"/>
      <c r="J480" s="31">
        <f>IF(AND(ISNUMBER(F480),ISNUMBER(G480)),(F480*IF(ISNUMBER('CALC-3 Budget'!$D$7),'CALC-3 Budget'!$D$7,'CALC-3 Budget'!$C$7)+G480*IF(ISNUMBER('CALC-3 Budget'!$D$8),'CALC-3 Budget'!$D$8,'CALC-3 Budget'!$C$8))/1000000,"")</f>
        <v/>
      </c>
    </row>
    <row r="481">
      <c r="A481" s="30" t="n"/>
      <c r="B481" s="30" t="n"/>
      <c r="C481" s="30" t="n"/>
      <c r="D481" s="30" t="n"/>
      <c r="E481" s="30" t="n"/>
      <c r="F481" s="30" t="n"/>
      <c r="G481" s="30" t="n"/>
      <c r="H481" s="30" t="n"/>
      <c r="I481" s="30" t="n"/>
      <c r="J481" s="31">
        <f>IF(AND(ISNUMBER(F481),ISNUMBER(G481)),(F481*IF(ISNUMBER('CALC-3 Budget'!$D$7),'CALC-3 Budget'!$D$7,'CALC-3 Budget'!$C$7)+G481*IF(ISNUMBER('CALC-3 Budget'!$D$8),'CALC-3 Budget'!$D$8,'CALC-3 Budget'!$C$8))/1000000,"")</f>
        <v/>
      </c>
    </row>
    <row r="482">
      <c r="A482" s="30" t="n"/>
      <c r="B482" s="30" t="n"/>
      <c r="C482" s="30" t="n"/>
      <c r="D482" s="30" t="n"/>
      <c r="E482" s="30" t="n"/>
      <c r="F482" s="30" t="n"/>
      <c r="G482" s="30" t="n"/>
      <c r="H482" s="30" t="n"/>
      <c r="I482" s="30" t="n"/>
      <c r="J482" s="31">
        <f>IF(AND(ISNUMBER(F482),ISNUMBER(G482)),(F482*IF(ISNUMBER('CALC-3 Budget'!$D$7),'CALC-3 Budget'!$D$7,'CALC-3 Budget'!$C$7)+G482*IF(ISNUMBER('CALC-3 Budget'!$D$8),'CALC-3 Budget'!$D$8,'CALC-3 Budget'!$C$8))/1000000,"")</f>
        <v/>
      </c>
    </row>
    <row r="483">
      <c r="A483" s="30" t="n"/>
      <c r="B483" s="30" t="n"/>
      <c r="C483" s="30" t="n"/>
      <c r="D483" s="30" t="n"/>
      <c r="E483" s="30" t="n"/>
      <c r="F483" s="30" t="n"/>
      <c r="G483" s="30" t="n"/>
      <c r="H483" s="30" t="n"/>
      <c r="I483" s="30" t="n"/>
      <c r="J483" s="31">
        <f>IF(AND(ISNUMBER(F483),ISNUMBER(G483)),(F483*IF(ISNUMBER('CALC-3 Budget'!$D$7),'CALC-3 Budget'!$D$7,'CALC-3 Budget'!$C$7)+G483*IF(ISNUMBER('CALC-3 Budget'!$D$8),'CALC-3 Budget'!$D$8,'CALC-3 Budget'!$C$8))/1000000,"")</f>
        <v/>
      </c>
    </row>
    <row r="484">
      <c r="A484" s="30" t="n"/>
      <c r="B484" s="30" t="n"/>
      <c r="C484" s="30" t="n"/>
      <c r="D484" s="30" t="n"/>
      <c r="E484" s="30" t="n"/>
      <c r="F484" s="30" t="n"/>
      <c r="G484" s="30" t="n"/>
      <c r="H484" s="30" t="n"/>
      <c r="I484" s="30" t="n"/>
      <c r="J484" s="31">
        <f>IF(AND(ISNUMBER(F484),ISNUMBER(G484)),(F484*IF(ISNUMBER('CALC-3 Budget'!$D$7),'CALC-3 Budget'!$D$7,'CALC-3 Budget'!$C$7)+G484*IF(ISNUMBER('CALC-3 Budget'!$D$8),'CALC-3 Budget'!$D$8,'CALC-3 Budget'!$C$8))/1000000,"")</f>
        <v/>
      </c>
    </row>
    <row r="485">
      <c r="A485" s="30" t="n"/>
      <c r="B485" s="30" t="n"/>
      <c r="C485" s="30" t="n"/>
      <c r="D485" s="30" t="n"/>
      <c r="E485" s="30" t="n"/>
      <c r="F485" s="30" t="n"/>
      <c r="G485" s="30" t="n"/>
      <c r="H485" s="30" t="n"/>
      <c r="I485" s="30" t="n"/>
      <c r="J485" s="31">
        <f>IF(AND(ISNUMBER(F485),ISNUMBER(G485)),(F485*IF(ISNUMBER('CALC-3 Budget'!$D$7),'CALC-3 Budget'!$D$7,'CALC-3 Budget'!$C$7)+G485*IF(ISNUMBER('CALC-3 Budget'!$D$8),'CALC-3 Budget'!$D$8,'CALC-3 Budget'!$C$8))/1000000,"")</f>
        <v/>
      </c>
    </row>
    <row r="486">
      <c r="A486" s="30" t="n"/>
      <c r="B486" s="30" t="n"/>
      <c r="C486" s="30" t="n"/>
      <c r="D486" s="30" t="n"/>
      <c r="E486" s="30" t="n"/>
      <c r="F486" s="30" t="n"/>
      <c r="G486" s="30" t="n"/>
      <c r="H486" s="30" t="n"/>
      <c r="I486" s="30" t="n"/>
      <c r="J486" s="31">
        <f>IF(AND(ISNUMBER(F486),ISNUMBER(G486)),(F486*IF(ISNUMBER('CALC-3 Budget'!$D$7),'CALC-3 Budget'!$D$7,'CALC-3 Budget'!$C$7)+G486*IF(ISNUMBER('CALC-3 Budget'!$D$8),'CALC-3 Budget'!$D$8,'CALC-3 Budget'!$C$8))/1000000,"")</f>
        <v/>
      </c>
    </row>
    <row r="487">
      <c r="A487" s="30" t="n"/>
      <c r="B487" s="30" t="n"/>
      <c r="C487" s="30" t="n"/>
      <c r="D487" s="30" t="n"/>
      <c r="E487" s="30" t="n"/>
      <c r="F487" s="30" t="n"/>
      <c r="G487" s="30" t="n"/>
      <c r="H487" s="30" t="n"/>
      <c r="I487" s="30" t="n"/>
      <c r="J487" s="31">
        <f>IF(AND(ISNUMBER(F487),ISNUMBER(G487)),(F487*IF(ISNUMBER('CALC-3 Budget'!$D$7),'CALC-3 Budget'!$D$7,'CALC-3 Budget'!$C$7)+G487*IF(ISNUMBER('CALC-3 Budget'!$D$8),'CALC-3 Budget'!$D$8,'CALC-3 Budget'!$C$8))/1000000,"")</f>
        <v/>
      </c>
    </row>
    <row r="488">
      <c r="A488" s="30" t="n"/>
      <c r="B488" s="30" t="n"/>
      <c r="C488" s="30" t="n"/>
      <c r="D488" s="30" t="n"/>
      <c r="E488" s="30" t="n"/>
      <c r="F488" s="30" t="n"/>
      <c r="G488" s="30" t="n"/>
      <c r="H488" s="30" t="n"/>
      <c r="I488" s="30" t="n"/>
      <c r="J488" s="31">
        <f>IF(AND(ISNUMBER(F488),ISNUMBER(G488)),(F488*IF(ISNUMBER('CALC-3 Budget'!$D$7),'CALC-3 Budget'!$D$7,'CALC-3 Budget'!$C$7)+G488*IF(ISNUMBER('CALC-3 Budget'!$D$8),'CALC-3 Budget'!$D$8,'CALC-3 Budget'!$C$8))/1000000,"")</f>
        <v/>
      </c>
    </row>
    <row r="489">
      <c r="A489" s="30" t="n"/>
      <c r="B489" s="30" t="n"/>
      <c r="C489" s="30" t="n"/>
      <c r="D489" s="30" t="n"/>
      <c r="E489" s="30" t="n"/>
      <c r="F489" s="30" t="n"/>
      <c r="G489" s="30" t="n"/>
      <c r="H489" s="30" t="n"/>
      <c r="I489" s="30" t="n"/>
      <c r="J489" s="31">
        <f>IF(AND(ISNUMBER(F489),ISNUMBER(G489)),(F489*IF(ISNUMBER('CALC-3 Budget'!$D$7),'CALC-3 Budget'!$D$7,'CALC-3 Budget'!$C$7)+G489*IF(ISNUMBER('CALC-3 Budget'!$D$8),'CALC-3 Budget'!$D$8,'CALC-3 Budget'!$C$8))/1000000,"")</f>
        <v/>
      </c>
    </row>
    <row r="490">
      <c r="A490" s="30" t="n"/>
      <c r="B490" s="30" t="n"/>
      <c r="C490" s="30" t="n"/>
      <c r="D490" s="30" t="n"/>
      <c r="E490" s="30" t="n"/>
      <c r="F490" s="30" t="n"/>
      <c r="G490" s="30" t="n"/>
      <c r="H490" s="30" t="n"/>
      <c r="I490" s="30" t="n"/>
      <c r="J490" s="31">
        <f>IF(AND(ISNUMBER(F490),ISNUMBER(G490)),(F490*IF(ISNUMBER('CALC-3 Budget'!$D$7),'CALC-3 Budget'!$D$7,'CALC-3 Budget'!$C$7)+G490*IF(ISNUMBER('CALC-3 Budget'!$D$8),'CALC-3 Budget'!$D$8,'CALC-3 Budget'!$C$8))/1000000,"")</f>
        <v/>
      </c>
    </row>
    <row r="491">
      <c r="A491" s="30" t="n"/>
      <c r="B491" s="30" t="n"/>
      <c r="C491" s="30" t="n"/>
      <c r="D491" s="30" t="n"/>
      <c r="E491" s="30" t="n"/>
      <c r="F491" s="30" t="n"/>
      <c r="G491" s="30" t="n"/>
      <c r="H491" s="30" t="n"/>
      <c r="I491" s="30" t="n"/>
      <c r="J491" s="31">
        <f>IF(AND(ISNUMBER(F491),ISNUMBER(G491)),(F491*IF(ISNUMBER('CALC-3 Budget'!$D$7),'CALC-3 Budget'!$D$7,'CALC-3 Budget'!$C$7)+G491*IF(ISNUMBER('CALC-3 Budget'!$D$8),'CALC-3 Budget'!$D$8,'CALC-3 Budget'!$C$8))/1000000,"")</f>
        <v/>
      </c>
    </row>
    <row r="492">
      <c r="A492" s="30" t="n"/>
      <c r="B492" s="30" t="n"/>
      <c r="C492" s="30" t="n"/>
      <c r="D492" s="30" t="n"/>
      <c r="E492" s="30" t="n"/>
      <c r="F492" s="30" t="n"/>
      <c r="G492" s="30" t="n"/>
      <c r="H492" s="30" t="n"/>
      <c r="I492" s="30" t="n"/>
      <c r="J492" s="31">
        <f>IF(AND(ISNUMBER(F492),ISNUMBER(G492)),(F492*IF(ISNUMBER('CALC-3 Budget'!$D$7),'CALC-3 Budget'!$D$7,'CALC-3 Budget'!$C$7)+G492*IF(ISNUMBER('CALC-3 Budget'!$D$8),'CALC-3 Budget'!$D$8,'CALC-3 Budget'!$C$8))/1000000,"")</f>
        <v/>
      </c>
    </row>
    <row r="493">
      <c r="A493" s="30" t="n"/>
      <c r="B493" s="30" t="n"/>
      <c r="C493" s="30" t="n"/>
      <c r="D493" s="30" t="n"/>
      <c r="E493" s="30" t="n"/>
      <c r="F493" s="30" t="n"/>
      <c r="G493" s="30" t="n"/>
      <c r="H493" s="30" t="n"/>
      <c r="I493" s="30" t="n"/>
      <c r="J493" s="31">
        <f>IF(AND(ISNUMBER(F493),ISNUMBER(G493)),(F493*IF(ISNUMBER('CALC-3 Budget'!$D$7),'CALC-3 Budget'!$D$7,'CALC-3 Budget'!$C$7)+G493*IF(ISNUMBER('CALC-3 Budget'!$D$8),'CALC-3 Budget'!$D$8,'CALC-3 Budget'!$C$8))/1000000,"")</f>
        <v/>
      </c>
    </row>
    <row r="494">
      <c r="A494" s="30" t="n"/>
      <c r="B494" s="30" t="n"/>
      <c r="C494" s="30" t="n"/>
      <c r="D494" s="30" t="n"/>
      <c r="E494" s="30" t="n"/>
      <c r="F494" s="30" t="n"/>
      <c r="G494" s="30" t="n"/>
      <c r="H494" s="30" t="n"/>
      <c r="I494" s="30" t="n"/>
      <c r="J494" s="31">
        <f>IF(AND(ISNUMBER(F494),ISNUMBER(G494)),(F494*IF(ISNUMBER('CALC-3 Budget'!$D$7),'CALC-3 Budget'!$D$7,'CALC-3 Budget'!$C$7)+G494*IF(ISNUMBER('CALC-3 Budget'!$D$8),'CALC-3 Budget'!$D$8,'CALC-3 Budget'!$C$8))/1000000,"")</f>
        <v/>
      </c>
    </row>
    <row r="495">
      <c r="A495" s="30" t="n"/>
      <c r="B495" s="30" t="n"/>
      <c r="C495" s="30" t="n"/>
      <c r="D495" s="30" t="n"/>
      <c r="E495" s="30" t="n"/>
      <c r="F495" s="30" t="n"/>
      <c r="G495" s="30" t="n"/>
      <c r="H495" s="30" t="n"/>
      <c r="I495" s="30" t="n"/>
      <c r="J495" s="31">
        <f>IF(AND(ISNUMBER(F495),ISNUMBER(G495)),(F495*IF(ISNUMBER('CALC-3 Budget'!$D$7),'CALC-3 Budget'!$D$7,'CALC-3 Budget'!$C$7)+G495*IF(ISNUMBER('CALC-3 Budget'!$D$8),'CALC-3 Budget'!$D$8,'CALC-3 Budget'!$C$8))/1000000,"")</f>
        <v/>
      </c>
    </row>
    <row r="496">
      <c r="A496" s="30" t="n"/>
      <c r="B496" s="30" t="n"/>
      <c r="C496" s="30" t="n"/>
      <c r="D496" s="30" t="n"/>
      <c r="E496" s="30" t="n"/>
      <c r="F496" s="30" t="n"/>
      <c r="G496" s="30" t="n"/>
      <c r="H496" s="30" t="n"/>
      <c r="I496" s="30" t="n"/>
      <c r="J496" s="31">
        <f>IF(AND(ISNUMBER(F496),ISNUMBER(G496)),(F496*IF(ISNUMBER('CALC-3 Budget'!$D$7),'CALC-3 Budget'!$D$7,'CALC-3 Budget'!$C$7)+G496*IF(ISNUMBER('CALC-3 Budget'!$D$8),'CALC-3 Budget'!$D$8,'CALC-3 Budget'!$C$8))/1000000,"")</f>
        <v/>
      </c>
    </row>
    <row r="497">
      <c r="A497" s="30" t="n"/>
      <c r="B497" s="30" t="n"/>
      <c r="C497" s="30" t="n"/>
      <c r="D497" s="30" t="n"/>
      <c r="E497" s="30" t="n"/>
      <c r="F497" s="30" t="n"/>
      <c r="G497" s="30" t="n"/>
      <c r="H497" s="30" t="n"/>
      <c r="I497" s="30" t="n"/>
      <c r="J497" s="31">
        <f>IF(AND(ISNUMBER(F497),ISNUMBER(G497)),(F497*IF(ISNUMBER('CALC-3 Budget'!$D$7),'CALC-3 Budget'!$D$7,'CALC-3 Budget'!$C$7)+G497*IF(ISNUMBER('CALC-3 Budget'!$D$8),'CALC-3 Budget'!$D$8,'CALC-3 Budget'!$C$8))/1000000,"")</f>
        <v/>
      </c>
    </row>
    <row r="498">
      <c r="A498" s="30" t="n"/>
      <c r="B498" s="30" t="n"/>
      <c r="C498" s="30" t="n"/>
      <c r="D498" s="30" t="n"/>
      <c r="E498" s="30" t="n"/>
      <c r="F498" s="30" t="n"/>
      <c r="G498" s="30" t="n"/>
      <c r="H498" s="30" t="n"/>
      <c r="I498" s="30" t="n"/>
      <c r="J498" s="31">
        <f>IF(AND(ISNUMBER(F498),ISNUMBER(G498)),(F498*IF(ISNUMBER('CALC-3 Budget'!$D$7),'CALC-3 Budget'!$D$7,'CALC-3 Budget'!$C$7)+G498*IF(ISNUMBER('CALC-3 Budget'!$D$8),'CALC-3 Budget'!$D$8,'CALC-3 Budget'!$C$8))/1000000,"")</f>
        <v/>
      </c>
    </row>
    <row r="499">
      <c r="A499" s="30" t="n"/>
      <c r="B499" s="30" t="n"/>
      <c r="C499" s="30" t="n"/>
      <c r="D499" s="30" t="n"/>
      <c r="E499" s="30" t="n"/>
      <c r="F499" s="30" t="n"/>
      <c r="G499" s="30" t="n"/>
      <c r="H499" s="30" t="n"/>
      <c r="I499" s="30" t="n"/>
      <c r="J499" s="31">
        <f>IF(AND(ISNUMBER(F499),ISNUMBER(G499)),(F499*IF(ISNUMBER('CALC-3 Budget'!$D$7),'CALC-3 Budget'!$D$7,'CALC-3 Budget'!$C$7)+G499*IF(ISNUMBER('CALC-3 Budget'!$D$8),'CALC-3 Budget'!$D$8,'CALC-3 Budget'!$C$8))/1000000,"")</f>
        <v/>
      </c>
    </row>
    <row r="500">
      <c r="A500" s="30" t="n"/>
      <c r="B500" s="30" t="n"/>
      <c r="C500" s="30" t="n"/>
      <c r="D500" s="30" t="n"/>
      <c r="E500" s="30" t="n"/>
      <c r="F500" s="30" t="n"/>
      <c r="G500" s="30" t="n"/>
      <c r="H500" s="30" t="n"/>
      <c r="I500" s="30" t="n"/>
      <c r="J500" s="31">
        <f>IF(AND(ISNUMBER(F500),ISNUMBER(G500)),(F500*IF(ISNUMBER('CALC-3 Budget'!$D$7),'CALC-3 Budget'!$D$7,'CALC-3 Budget'!$C$7)+G500*IF(ISNUMBER('CALC-3 Budget'!$D$8),'CALC-3 Budget'!$D$8,'CALC-3 Budget'!$C$8))/1000000,"")</f>
        <v/>
      </c>
    </row>
    <row r="501">
      <c r="A501" s="30" t="n"/>
      <c r="B501" s="30" t="n"/>
      <c r="C501" s="30" t="n"/>
      <c r="D501" s="30" t="n"/>
      <c r="E501" s="30" t="n"/>
      <c r="F501" s="30" t="n"/>
      <c r="G501" s="30" t="n"/>
      <c r="H501" s="30" t="n"/>
      <c r="I501" s="30" t="n"/>
      <c r="J501" s="31">
        <f>IF(AND(ISNUMBER(F501),ISNUMBER(G501)),(F501*IF(ISNUMBER('CALC-3 Budget'!$D$7),'CALC-3 Budget'!$D$7,'CALC-3 Budget'!$C$7)+G501*IF(ISNUMBER('CALC-3 Budget'!$D$8),'CALC-3 Budget'!$D$8,'CALC-3 Budget'!$C$8))/1000000,"")</f>
        <v/>
      </c>
    </row>
    <row r="502">
      <c r="A502" s="30" t="n"/>
      <c r="B502" s="30" t="n"/>
      <c r="C502" s="30" t="n"/>
      <c r="D502" s="30" t="n"/>
      <c r="E502" s="30" t="n"/>
      <c r="F502" s="30" t="n"/>
      <c r="G502" s="30" t="n"/>
      <c r="H502" s="30" t="n"/>
      <c r="I502" s="30" t="n"/>
      <c r="J502" s="31">
        <f>IF(AND(ISNUMBER(F502),ISNUMBER(G502)),(F502*IF(ISNUMBER('CALC-3 Budget'!$D$7),'CALC-3 Budget'!$D$7,'CALC-3 Budget'!$C$7)+G502*IF(ISNUMBER('CALC-3 Budget'!$D$8),'CALC-3 Budget'!$D$8,'CALC-3 Budget'!$C$8))/1000000,"")</f>
        <v/>
      </c>
    </row>
    <row r="503">
      <c r="A503" s="30" t="n"/>
      <c r="B503" s="30" t="n"/>
      <c r="C503" s="30" t="n"/>
      <c r="D503" s="30" t="n"/>
      <c r="E503" s="30" t="n"/>
      <c r="F503" s="30" t="n"/>
      <c r="G503" s="30" t="n"/>
      <c r="H503" s="30" t="n"/>
      <c r="I503" s="30" t="n"/>
      <c r="J503" s="31">
        <f>IF(AND(ISNUMBER(F503),ISNUMBER(G503)),(F503*IF(ISNUMBER('CALC-3 Budget'!$D$7),'CALC-3 Budget'!$D$7,'CALC-3 Budget'!$C$7)+G503*IF(ISNUMBER('CALC-3 Budget'!$D$8),'CALC-3 Budget'!$D$8,'CALC-3 Budget'!$C$8))/1000000,"")</f>
        <v/>
      </c>
    </row>
  </sheetData>
  <mergeCells count="1">
    <mergeCell ref="L13:M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2026-09-24T01:50:54Z</dcterms:created>
  <dcterms:modified xsi:type="dcterms:W3CDTF">2026-09-24T01:50:54Z</dcterms:modified>
</cp:coreProperties>
</file>